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6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dicadores" sheetId="1" state="visible" r:id="rId3"/>
    <sheet name="Detalhado" sheetId="2" state="visible" r:id="rId4"/>
    <sheet name="Ver-Iniciação1" sheetId="3" state="visible" r:id="rId5"/>
    <sheet name="Ver-Elaboração1" sheetId="4" state="visible" r:id="rId6"/>
    <sheet name="Ver-Construção1" sheetId="5" state="visible" r:id="rId7"/>
    <sheet name="Ver-Transição1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>
      <text>
        <r>
          <rPr>
            <sz val="10"/>
            <rFont val="Arial"/>
            <family val="2"/>
          </rPr>
          <t xml:space="preserve">Sim - Existe evidência direta ou indireta.
Parcialmente - Existe evidência direta ou indireta de forma parcial.
Não - Não existe evidência.
NA - Não se aplica ao projeto.
</t>
        </r>
      </text>
    </comment>
    <comment ref="E4" authorId="0">
      <text>
        <r>
          <rPr>
            <sz val="10"/>
            <rFont val="Arial"/>
            <family val="2"/>
          </rPr>
          <t xml:space="preserve">Caso o resultado seja NÃO, este campo deve ser preenchido.
</t>
        </r>
      </text>
    </comment>
    <comment ref="F4" authorId="0">
      <text>
        <r>
          <rPr>
            <sz val="10"/>
            <rFont val="Arial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>
      <text>
        <r>
          <rPr>
            <sz val="10"/>
            <rFont val="Arial"/>
            <family val="2"/>
          </rPr>
          <t xml:space="preserve">Sim - Existe evidência direta ou indireta.
Parcialmente - Existe evidência direta ou indireta de forma parcial.
Não - Não existe evidência.
NA - Não se aplica ao projeto.</t>
        </r>
      </text>
    </comment>
    <comment ref="E4" authorId="0">
      <text>
        <r>
          <rPr>
            <sz val="10"/>
            <rFont val="Arial"/>
            <family val="2"/>
          </rPr>
          <t xml:space="preserve">Caso o resultado seja NÃO, este campo deve ser preenchido.
</t>
        </r>
      </text>
    </comment>
    <comment ref="F4" authorId="0">
      <text>
        <r>
          <rPr>
            <sz val="10"/>
            <rFont val="Arial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>
      <text>
        <r>
          <rPr>
            <sz val="10"/>
            <rFont val="Arial"/>
            <family val="2"/>
          </rPr>
          <t xml:space="preserve">Sim - Existe evidência direta ou indireta.
Parcialmente - Existe evidência direta ou indireta de forma parcial.
Não - Não existe evidência.
NA - Não se aplica ao projeto.</t>
        </r>
      </text>
    </comment>
    <comment ref="E4" authorId="0">
      <text>
        <r>
          <rPr>
            <sz val="10"/>
            <rFont val="Arial"/>
            <family val="2"/>
          </rPr>
          <t xml:space="preserve">Caso o resultado seja NÃO, este campo deve ser preenchido.
</t>
        </r>
      </text>
    </comment>
    <comment ref="F4" authorId="0">
      <text>
        <r>
          <rPr>
            <sz val="10"/>
            <rFont val="Arial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  </r>
      </text>
    </comment>
    <comment ref="D4" authorId="0">
      <text>
        <r>
          <rPr>
            <sz val="10"/>
            <rFont val="Arial"/>
            <family val="2"/>
          </rPr>
          <t xml:space="preserve">Sim - Existe evidência direta ou indireta.
Parcialmente - Existe evidência direta ou indireta de forma parcial.
Não - Não existe evidência.
NA - Não se aplica ao projeto.</t>
        </r>
      </text>
    </comment>
    <comment ref="E4" authorId="0">
      <text>
        <r>
          <rPr>
            <sz val="10"/>
            <rFont val="Arial"/>
            <family val="2"/>
          </rPr>
          <t xml:space="preserve">Caso o resultado seja NÃO, este campo deve ser preenchido.
</t>
        </r>
      </text>
    </comment>
    <comment ref="F4" authorId="0">
      <text>
        <r>
          <rPr>
            <sz val="10"/>
            <rFont val="Arial"/>
            <family val="2"/>
          </rPr>
          <t xml:space="preserve">Sempre que uma boa prática for observada no projeto ou reportada pelo time, este campo deve ser preenchido.
</t>
        </r>
      </text>
    </comment>
  </commentList>
</comments>
</file>

<file path=xl/sharedStrings.xml><?xml version="1.0" encoding="utf-8"?>
<sst xmlns="http://schemas.openxmlformats.org/spreadsheetml/2006/main" count="322" uniqueCount="120">
  <si>
    <t xml:space="preserve">IAP - Indicador de Aderência ao Processo (70% a 100%)</t>
  </si>
  <si>
    <t xml:space="preserve">Fases e iterações (sprints)</t>
  </si>
  <si>
    <t xml:space="preserve">Aderência (%)</t>
  </si>
  <si>
    <t xml:space="preserve">Iniciação</t>
  </si>
  <si>
    <t xml:space="preserve">Elaboração</t>
  </si>
  <si>
    <t xml:space="preserve">Construção</t>
  </si>
  <si>
    <t xml:space="preserve">Transição</t>
  </si>
  <si>
    <t xml:space="preserve">DESCRIÇÃO</t>
  </si>
  <si>
    <t xml:space="preserve">SIM</t>
  </si>
  <si>
    <t xml:space="preserve">PARCIALMENTE</t>
  </si>
  <si>
    <t xml:space="preserve">NÃO</t>
  </si>
  <si>
    <t xml:space="preserve">N/A</t>
  </si>
  <si>
    <t xml:space="preserve">documentos não padronizados (templates, guias, leis, etc.)</t>
  </si>
  <si>
    <t xml:space="preserve">visão</t>
  </si>
  <si>
    <t xml:space="preserve">modelo de caso de uso</t>
  </si>
  <si>
    <t xml:space="preserve">especificações de requisitos (casos de uso e/ou histórias do usuário)?</t>
  </si>
  <si>
    <t xml:space="preserve">glossário</t>
  </si>
  <si>
    <t xml:space="preserve">atas de reuniões</t>
  </si>
  <si>
    <t xml:space="preserve">modelo de arquitetura</t>
  </si>
  <si>
    <t xml:space="preserve">termo de abertura do projeto</t>
  </si>
  <si>
    <t xml:space="preserve">guia de implementação</t>
  </si>
  <si>
    <t xml:space="preserve">caso de desenvolvimento</t>
  </si>
  <si>
    <t xml:space="preserve">codigo fonte </t>
  </si>
  <si>
    <t xml:space="preserve">planilha de planejamento e controle do projeto</t>
  </si>
  <si>
    <t xml:space="preserve">repositório (itens de configuração)</t>
  </si>
  <si>
    <t xml:space="preserve">requisição de mudanças</t>
  </si>
  <si>
    <t xml:space="preserve">roteiro de testes</t>
  </si>
  <si>
    <t xml:space="preserve">guia de implantação</t>
  </si>
  <si>
    <t xml:space="preserve">manual do usuário (pode ser help on-line)</t>
  </si>
  <si>
    <t xml:space="preserve">CheckList de Verificação de Projeto</t>
  </si>
  <si>
    <t xml:space="preserve">Data da Verificação:</t>
  </si>
  <si>
    <t xml:space="preserve">IAP - Indicador de Aderência ao Processo:</t>
  </si>
  <si>
    <t xml:space="preserve">Nome do Verificador:</t>
  </si>
  <si>
    <t xml:space="preserve">Fábio Adriano Silveira</t>
  </si>
  <si>
    <t xml:space="preserve">O ideal é que o índice de aderência ao processo tenha entre 70 e 100%</t>
  </si>
  <si>
    <t xml:space="preserve">Disciplina</t>
  </si>
  <si>
    <t xml:space="preserve">Qde.</t>
  </si>
  <si>
    <t xml:space="preserve">Itens de verificação</t>
  </si>
  <si>
    <t xml:space="preserve">Resultado</t>
  </si>
  <si>
    <t xml:space="preserve">Descrever o desvio</t>
  </si>
  <si>
    <t xml:space="preserve">Sugestão de melhoria</t>
  </si>
  <si>
    <t xml:space="preserve">Ambiente</t>
  </si>
  <si>
    <t xml:space="preserve">Existe template para documento não previsto no SpinOff?</t>
  </si>
  <si>
    <t xml:space="preserve">NA</t>
  </si>
  <si>
    <t xml:space="preserve">Todos os templates e arquivos presentes são previstos no SpinOff</t>
  </si>
  <si>
    <t xml:space="preserve">Desenvolvimento - Requisitos</t>
  </si>
  <si>
    <t xml:space="preserve">O artefato foi criado com o template atual e armazenado na pasta correta da estrutura do projeto?</t>
  </si>
  <si>
    <t xml:space="preserve">Sim</t>
  </si>
  <si>
    <t xml:space="preserve">O objetivo, os problemas  e as necessidades do cliente estão claras?</t>
  </si>
  <si>
    <t xml:space="preserve">As necessidades foram descritas como histórias de usuário?</t>
  </si>
  <si>
    <t xml:space="preserve">Fornece uma visão geral do sistema de forma clara e objetiva?</t>
  </si>
  <si>
    <t xml:space="preserve">Foram identificadas restrições de prazo, custo, tecnológica, ou qualquer outra e registradas no Visão?</t>
  </si>
  <si>
    <t xml:space="preserve">O modelo de casos de uso, escopo do sistema em termos de funcionalidades, e respectivas permissões de acesso estão claros?</t>
  </si>
  <si>
    <t xml:space="preserve">Os casos de uso e atores possuem descrições claras e objetivas de forma a não necessitar que alguém explique-o verbalmente?</t>
  </si>
  <si>
    <t xml:space="preserve">Caso tenha sido criado o protótipo, ele foi armazenado na pasta correta da estrutura do projeto?</t>
  </si>
  <si>
    <t xml:space="preserve">O escopo foi apresentado e aprovado pelo cliente ou representante?</t>
  </si>
  <si>
    <t xml:space="preserve">especificações de requisitos (histórias do usuário)?</t>
  </si>
  <si>
    <t xml:space="preserve">Se criado, o artefato usou o template atual e foi armazenado na pasta correta da estrutura do projeto?</t>
  </si>
  <si>
    <t xml:space="preserve">Se criados, as especificações para os casos de uso/histórias de usuário são testáveis, ou seja, é possível identificar as entradas e verificar se as saída estão corretas?</t>
  </si>
  <si>
    <t xml:space="preserve">As descrições dos termos estão claras?</t>
  </si>
  <si>
    <t xml:space="preserve">As atas das reuniões de levantamento de requisitos foram aprovadas?</t>
  </si>
  <si>
    <t xml:space="preserve">A equipe foi definida com seus respectivos e-mails?</t>
  </si>
  <si>
    <t xml:space="preserve">O backlog do produto foi criado com todos os Casos de Uso?</t>
  </si>
  <si>
    <t xml:space="preserve">Foi feita a estimativa do Backlog do Produto?</t>
  </si>
  <si>
    <t xml:space="preserve">Foi feita a priorização do Backlog do Produto?</t>
  </si>
  <si>
    <t xml:space="preserve">O plano de entregas foi definido e documentado e corresponde ao número de sprints planejado?</t>
  </si>
  <si>
    <t xml:space="preserve">O plano de gerenciamento de riscos foi elaborado e considerou as restrições registradas no Visão?</t>
  </si>
  <si>
    <t xml:space="preserve">O planejamento foi apresentado e aprovado pelo cliente ou representante?</t>
  </si>
  <si>
    <t xml:space="preserve">Gerenciamento de Configuração e Mudanças</t>
  </si>
  <si>
    <t xml:space="preserve">A estrutura do projeto (repositório) foi criada com o template atual e está sicronizada com o servidor?</t>
  </si>
  <si>
    <t xml:space="preserve">Os artefatos estão nos locais corretos conforme guia-mapeamento de processo x produto?</t>
  </si>
  <si>
    <t xml:space="preserve">Os artefatos estão nomeados conforme guia-políticas de GC?</t>
  </si>
  <si>
    <t xml:space="preserve">Os históricos de atualizações dos artefatos, na ferramenta,  possuem descrição do que foi alterado?</t>
  </si>
  <si>
    <t xml:space="preserve">Não</t>
  </si>
  <si>
    <t xml:space="preserve">Os artefatos não sofreram atualizações até o momento</t>
  </si>
  <si>
    <t xml:space="preserve">O visão foi atualizado devido a mudança de escopo?</t>
  </si>
  <si>
    <t xml:space="preserve">O modelo de casos de uso, escopo do sistema, foi atualizado conforme as mudanças?</t>
  </si>
  <si>
    <t xml:space="preserve">Os casos de uso e atores foram documentados (especificados) com descrição dos elementos UML.</t>
  </si>
  <si>
    <t xml:space="preserve">As especificações dos casos de uso/histórias de usuário foram atualizadas conforme a implementação?</t>
  </si>
  <si>
    <t xml:space="preserve">Foi criado/atualizado o modelo de negócio das entidades? (diagrama de classes)</t>
  </si>
  <si>
    <t xml:space="preserve">As novas especificações, modelos e protótipos foram aprovados pelo cliente?</t>
  </si>
  <si>
    <t xml:space="preserve">O caso de uso/história de usuário escolhido para definir e testar a arquitetura foi especificado?</t>
  </si>
  <si>
    <t xml:space="preserve">Foi atualizado?</t>
  </si>
  <si>
    <t xml:space="preserve">Desenvolvimento - Análise e Design</t>
  </si>
  <si>
    <t xml:space="preserve">O caso de uso escolhido para definir e testar a arquitetura foi implementado e testado?</t>
  </si>
  <si>
    <t xml:space="preserve">Foram criados diagramas de classes, de arquitetura, de pacotes e de deployment?</t>
  </si>
  <si>
    <t xml:space="preserve">Os requisitos suplementares (não funcionais) foram especificados e utilizados na definição da arquitetura?</t>
  </si>
  <si>
    <t xml:space="preserve">Foi criado o Modelo de Negócio (diagrama de classes com todas as entidades identificadas) ou um DER (diagrama de entidade relacionamento)</t>
  </si>
  <si>
    <t xml:space="preserve">Desenvolvimento - Implementação</t>
  </si>
  <si>
    <t xml:space="preserve">O código respeita o modelo de arquitetura, inclusive nomeação de classes, atributos, relacionamentos e pacotes?</t>
  </si>
  <si>
    <t xml:space="preserve">O código está dentro dos padrões de codificação, conforme as convenções de código da linguagem?</t>
  </si>
  <si>
    <t xml:space="preserve">Foram criados os testes unitários dos controladores?</t>
  </si>
  <si>
    <t xml:space="preserve">Os testes unitários foram executados?</t>
  </si>
  <si>
    <t xml:space="preserve">Gerenciamento de Projetos</t>
  </si>
  <si>
    <t xml:space="preserve">Foi feito o planejamento do Sprint?</t>
  </si>
  <si>
    <t xml:space="preserve">Foi refeita a estimativa e a priorização no Backlog do Sprint?</t>
  </si>
  <si>
    <t xml:space="preserve">No Backlog do Produto foi incluído mais alguma atividade, estimado e priorizado?</t>
  </si>
  <si>
    <t xml:space="preserve">O plano de entregas foi atualizado?</t>
  </si>
  <si>
    <t xml:space="preserve">O plano de gerenciamento de riscos foi atualizado?</t>
  </si>
  <si>
    <t xml:space="preserve">Foram feitas as reuniões de Revisão do Produto e Processo?</t>
  </si>
  <si>
    <t xml:space="preserve">As mudanças de escopo foram registradas no Backlog do produto?</t>
  </si>
  <si>
    <t xml:space="preserve">Há rastreabilidade (histórico do que foi alterado) das mudanças?</t>
  </si>
  <si>
    <t xml:space="preserve">Os diagramas de de casos de uso e classes foram atualizados conforme a implementação? (diagrama de classes ou DER)</t>
  </si>
  <si>
    <t xml:space="preserve">O modelo de arquitetura foi atualizado?</t>
  </si>
  <si>
    <t xml:space="preserve">Os diagramas de classe foram atualizados conforme a codificação realizada?</t>
  </si>
  <si>
    <t xml:space="preserve">Desenvolvimento - Testes</t>
  </si>
  <si>
    <t xml:space="preserve">Possui um roteiro com casos de testes para cada caso de uso ou história de usuário?</t>
  </si>
  <si>
    <t xml:space="preserve">Os dados de entrada e resultados esperados estão definidos?</t>
  </si>
  <si>
    <t xml:space="preserve">Existem evidências de execução dos testes?</t>
  </si>
  <si>
    <t xml:space="preserve">Os testes realizados foram registrados no roteiro de testes?</t>
  </si>
  <si>
    <t xml:space="preserve">O Backlog do Produto foi alterado, caso tenham sido incluidas ou removidas tarefas?</t>
  </si>
  <si>
    <t xml:space="preserve">O plano de entregas foi atualizado? Corresponde ao número de sprints?</t>
  </si>
  <si>
    <t xml:space="preserve">Existe histórico de alterações das configurações base?</t>
  </si>
  <si>
    <t xml:space="preserve">Foi realizado refinamentos no código para melhorar eficiência ou corrigir bugs?</t>
  </si>
  <si>
    <t xml:space="preserve">Os diagramas de classes foram atualizados?</t>
  </si>
  <si>
    <t xml:space="preserve">Os testes unitários foram executados, todos passaram?</t>
  </si>
  <si>
    <t xml:space="preserve">Os roteiros de testes foram atualizados e executados?</t>
  </si>
  <si>
    <t xml:space="preserve">Desenvolvimento - Implantação</t>
  </si>
  <si>
    <t xml:space="preserve">O guia de implantação foi criado para implantar o produto (subproduto) com software, hardware, etc. necessários para a implantação em ambiente de produção?</t>
  </si>
  <si>
    <t xml:space="preserve">Foram realizados os testes de aceitação por parte do usuário final?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</si>
</sst>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dd/mm/yyyy"/>
  </numFmts>
  <fonts count="2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0"/>
      <color rgb="FF000000"/>
      <name val="Calibri"/>
      <family val="2"/>
    </font>
    <font>
      <sz val="11"/>
      <color theme="1"/>
      <name val="Consolas"/>
      <family val="0"/>
      <charset val="1"/>
    </font>
    <font>
      <sz val="14"/>
      <color rgb="FF757575"/>
      <name val="Calibri"/>
      <family val="2"/>
    </font>
    <font>
      <sz val="9"/>
      <color rgb="FF000000"/>
      <name val="Calibri"/>
      <family val="2"/>
    </font>
    <font>
      <sz val="9"/>
      <color rgb="FF1A1A1A"/>
      <name val="Calibri"/>
      <family val="2"/>
    </font>
    <font>
      <b val="true"/>
      <sz val="14"/>
      <color theme="0"/>
      <name val="Arial"/>
      <family val="0"/>
      <charset val="1"/>
    </font>
    <font>
      <b val="true"/>
      <sz val="11"/>
      <color theme="0"/>
      <name val="Calibri"/>
      <family val="0"/>
      <charset val="1"/>
    </font>
    <font>
      <b val="true"/>
      <i val="true"/>
      <sz val="11"/>
      <color theme="1"/>
      <name val="Calibri"/>
      <family val="0"/>
      <charset val="1"/>
    </font>
    <font>
      <b val="true"/>
      <sz val="12"/>
      <color theme="1"/>
      <name val="Calibri"/>
      <family val="0"/>
      <charset val="1"/>
    </font>
    <font>
      <b val="true"/>
      <sz val="10"/>
      <color theme="1"/>
      <name val="Calibri"/>
      <family val="0"/>
      <charset val="1"/>
    </font>
    <font>
      <b val="true"/>
      <sz val="11"/>
      <color theme="0"/>
      <name val="Arial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theme="1"/>
      <name val="Arial Black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EF2CB"/>
        <bgColor rgb="FFFBE4D5"/>
      </patternFill>
    </fill>
    <fill>
      <patternFill patternType="solid">
        <fgColor rgb="FFC00000"/>
        <bgColor rgb="FF800000"/>
      </patternFill>
    </fill>
    <fill>
      <patternFill patternType="solid">
        <fgColor rgb="FFFBE4D5"/>
        <bgColor rgb="FFFEF2CB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5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3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5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8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0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6" fillId="4" borderId="9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6" fillId="4" borderId="4" xfId="0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757575"/>
      <rgbColor rgb="FFA5A5A5"/>
      <rgbColor rgb="FF993366"/>
      <rgbColor rgb="FFFEF2C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4D5"/>
      <rgbColor rgb="FF3366FF"/>
      <rgbColor rgb="FF33CCCC"/>
      <rgbColor rgb="FF99CC00"/>
      <rgbColor rgb="FFFFC000"/>
      <rgbColor rgb="FFFF9900"/>
      <rgbColor rgb="FFED7D31"/>
      <rgbColor rgb="FF666699"/>
      <rgbColor rgb="FF8B8B8B"/>
      <rgbColor rgb="FF003366"/>
      <rgbColor rgb="FF5B9BD5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5b9bd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9080">
                <a:solidFill>
                  <a:srgbClr val="000000">
                    <a:alpha val="0"/>
                  </a:srgbClr>
                </a:solidFill>
                <a:round/>
              </a:ln>
            </c:spPr>
            <c:trendlineType val="linear"/>
            <c:forward val="0"/>
            <c:backward val="0"/>
            <c:dispRSqr val="0"/>
            <c:dispEq val="0"/>
          </c:trendline>
          <c:cat>
            <c:strRef>
              <c:f>Indicadores!$A$3:$A$6</c:f>
              <c:strCache>
                <c:ptCount val="4"/>
                <c:pt idx="0">
                  <c:v>Iniciação</c:v>
                </c:pt>
                <c:pt idx="1">
                  <c:v>Elaboração</c:v>
                </c:pt>
                <c:pt idx="2">
                  <c:v>Construção</c:v>
                </c:pt>
                <c:pt idx="3">
                  <c:v>Transição</c:v>
                </c:pt>
              </c:strCache>
            </c:strRef>
          </c:cat>
          <c:val>
            <c:numRef>
              <c:f>Indicadores!$B$3:$B$6</c:f>
              <c:numCache>
                <c:formatCode>General</c:formatCode>
                <c:ptCount val="4"/>
                <c:pt idx="0">
                  <c:v>0.952380952380952</c:v>
                </c:pt>
              </c:numCache>
            </c:numRef>
          </c:val>
        </c:ser>
        <c:gapWidth val="150"/>
        <c:overlap val="0"/>
        <c:axId val="94826584"/>
        <c:axId val="41021204"/>
      </c:barChart>
      <c:catAx>
        <c:axId val="9482658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1021204"/>
        <c:crosses val="autoZero"/>
        <c:auto val="1"/>
        <c:lblAlgn val="ctr"/>
        <c:lblOffset val="100"/>
        <c:noMultiLvlLbl val="0"/>
      </c:catAx>
      <c:valAx>
        <c:axId val="4102120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48265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INICIAÇÃO DETALHADA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"SIM"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rgbClr val="5b9bd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Detalhado!$B$2:$B$12</c:f>
              <c:numCache>
                <c:formatCode>0%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0.8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1</c:v>
                </c:pt>
                <c:pt idx="9">
                  <c:v>0.75</c:v>
                </c:pt>
              </c:numCache>
            </c:numRef>
          </c:val>
        </c:ser>
        <c:ser>
          <c:idx val="1"/>
          <c:order val="1"/>
          <c:tx>
            <c:strRef>
              <c:f>"PARCIALMENTE"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rgbClr val="ed7d31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Detalhado!$C$2:$C$12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"NÃO"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rgbClr val="a5a5a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Detalhado!$D$2:$D$12</c:f>
              <c:numCache>
                <c:formatCode>0%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8">
                  <c:v>0</c:v>
                </c:pt>
                <c:pt idx="9">
                  <c:v>0.25</c:v>
                </c:pt>
              </c:numCache>
            </c:numRef>
          </c:val>
        </c:ser>
        <c:ser>
          <c:idx val="3"/>
          <c:order val="3"/>
          <c:tx>
            <c:strRef>
              <c:f>"N/A"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Detalhado!$A$2:$A$12</c:f>
              <c:strCache>
                <c:ptCount val="11"/>
                <c:pt idx="0">
                  <c:v>documentos não padronizados (templates, guias, leis, etc.)</c:v>
                </c:pt>
                <c:pt idx="1">
                  <c:v>visão</c:v>
                </c:pt>
                <c:pt idx="2">
                  <c:v>modelo de caso de uso</c:v>
                </c:pt>
                <c:pt idx="3">
                  <c:v>especificações de requisitos (casos de uso e/ou histórias do usuário)?</c:v>
                </c:pt>
                <c:pt idx="4">
                  <c:v>glossário</c:v>
                </c:pt>
                <c:pt idx="5">
                  <c:v>atas de reuniões</c:v>
                </c:pt>
                <c:pt idx="6">
                  <c:v>termo de abertura do projeto</c:v>
                </c:pt>
                <c:pt idx="7">
                  <c:v>caso de desenvolvimento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Detalhado!$E$2:$E$12</c:f>
              <c:numCache>
                <c:formatCode>0%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0.2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75254492"/>
        <c:axId val="8518538"/>
      </c:barChart>
      <c:catAx>
        <c:axId val="7525449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518538"/>
        <c:crosses val="autoZero"/>
        <c:auto val="1"/>
        <c:lblAlgn val="ctr"/>
        <c:lblOffset val="100"/>
        <c:noMultiLvlLbl val="0"/>
      </c:catAx>
      <c:valAx>
        <c:axId val="851853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525449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ELABORAÇÃO DETALHADA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Detalhado!$O$1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Detalhado!$O$2:$O$12</c:f>
              <c:numCache>
                <c:formatCode>0%</c:formatCode>
                <c:ptCount val="11"/>
              </c:numCache>
            </c:numRef>
          </c:val>
        </c:ser>
        <c:ser>
          <c:idx val="1"/>
          <c:order val="1"/>
          <c:tx>
            <c:strRef>
              <c:f>Detalhado!$P$1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Detalhado!$P$2:$P$12</c:f>
              <c:numCache>
                <c:formatCode>0%</c:formatCode>
                <c:ptCount val="11"/>
              </c:numCache>
            </c:numRef>
          </c:val>
        </c:ser>
        <c:ser>
          <c:idx val="2"/>
          <c:order val="2"/>
          <c:tx>
            <c:strRef>
              <c:f>Detalhado!$Q$1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Detalhado!$Q$2:$Q$12</c:f>
              <c:numCache>
                <c:formatCode>0%</c:formatCode>
                <c:ptCount val="11"/>
              </c:numCache>
            </c:numRef>
          </c:val>
        </c:ser>
        <c:ser>
          <c:idx val="3"/>
          <c:order val="3"/>
          <c:tx>
            <c:strRef>
              <c:f>Detalhado!$R$1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Detalhado!$N$2:$N$12</c:f>
              <c:strCache>
                <c:ptCount val="11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planilha de planejamento e controle do projeto</c:v>
                </c:pt>
                <c:pt idx="9">
                  <c:v>repositório (itens de configuração)</c:v>
                </c:pt>
                <c:pt idx="10">
                  <c:v>requisição de mudanças</c:v>
                </c:pt>
              </c:strCache>
            </c:strRef>
          </c:cat>
          <c:val>
            <c:numRef>
              <c:f>Detalhado!$R$2:$R$12</c:f>
              <c:numCache>
                <c:formatCode>0%</c:formatCode>
                <c:ptCount val="11"/>
              </c:numCache>
            </c:numRef>
          </c:val>
        </c:ser>
        <c:gapWidth val="150"/>
        <c:overlap val="0"/>
        <c:axId val="34945764"/>
        <c:axId val="84196451"/>
      </c:barChart>
      <c:catAx>
        <c:axId val="349457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4196451"/>
        <c:crosses val="autoZero"/>
        <c:auto val="1"/>
        <c:lblAlgn val="ctr"/>
        <c:lblOffset val="100"/>
        <c:noMultiLvlLbl val="0"/>
      </c:catAx>
      <c:valAx>
        <c:axId val="84196451"/>
        <c:scaling>
          <c:orientation val="minMax"/>
        </c:scaling>
        <c:delete val="0"/>
        <c:axPos val="l"/>
        <c:numFmt formatCode="0%" sourceLinked="1"/>
        <c:majorTickMark val="cross"/>
        <c:minorTickMark val="cross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49457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CONSTRUÇÃO DETALHADA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Detalhado!$B$22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Detalhado!$B$23:$B$34</c:f>
              <c:numCache>
                <c:formatCode>0%</c:formatCode>
                <c:ptCount val="12"/>
              </c:numCache>
            </c:numRef>
          </c:val>
        </c:ser>
        <c:ser>
          <c:idx val="1"/>
          <c:order val="1"/>
          <c:tx>
            <c:strRef>
              <c:f>Detalhado!$C$22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Detalhado!$C$23:$C$34</c:f>
              <c:numCache>
                <c:formatCode>0%</c:formatCode>
                <c:ptCount val="12"/>
              </c:numCache>
            </c:numRef>
          </c:val>
        </c:ser>
        <c:ser>
          <c:idx val="2"/>
          <c:order val="2"/>
          <c:tx>
            <c:strRef>
              <c:f>Detalhado!$D$22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Detalhado!$D$23:$D$34</c:f>
              <c:numCache>
                <c:formatCode>0%</c:formatCode>
                <c:ptCount val="12"/>
              </c:numCache>
            </c:numRef>
          </c:val>
        </c:ser>
        <c:ser>
          <c:idx val="3"/>
          <c:order val="3"/>
          <c:tx>
            <c:strRef>
              <c:f>Detalhado!$E$22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Detalhado!$A$23:$A$34</c:f>
              <c:strCache>
                <c:ptCount val="12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guia de implementação</c:v>
                </c:pt>
                <c:pt idx="7">
                  <c:v>codigo fonte </c:v>
                </c:pt>
                <c:pt idx="8">
                  <c:v>roteiro de testes</c:v>
                </c:pt>
                <c:pt idx="9">
                  <c:v>planilha de planejamento e controle do projeto</c:v>
                </c:pt>
                <c:pt idx="10">
                  <c:v>repositório (itens de configuração)</c:v>
                </c:pt>
                <c:pt idx="11">
                  <c:v>requisição de mudanças</c:v>
                </c:pt>
              </c:strCache>
            </c:strRef>
          </c:cat>
          <c:val>
            <c:numRef>
              <c:f>Detalhado!$E$23:$E$34</c:f>
              <c:numCache>
                <c:formatCode>0%</c:formatCode>
                <c:ptCount val="12"/>
              </c:numCache>
            </c:numRef>
          </c:val>
        </c:ser>
        <c:gapWidth val="150"/>
        <c:overlap val="0"/>
        <c:axId val="28338153"/>
        <c:axId val="91298575"/>
      </c:barChart>
      <c:catAx>
        <c:axId val="2833815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1298575"/>
        <c:crosses val="autoZero"/>
        <c:auto val="1"/>
        <c:lblAlgn val="ctr"/>
        <c:lblOffset val="100"/>
        <c:noMultiLvlLbl val="0"/>
      </c:catAx>
      <c:valAx>
        <c:axId val="91298575"/>
        <c:scaling>
          <c:orientation val="minMax"/>
        </c:scaling>
        <c:delete val="0"/>
        <c:axPos val="l"/>
        <c:numFmt formatCode="0%" sourceLinked="1"/>
        <c:majorTickMark val="cross"/>
        <c:minorTickMark val="cross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833815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TRANSIÇÃO DETALHADA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Detalhado!$N$24</c:f>
              <c:strCache>
                <c:ptCount val="1"/>
                <c:pt idx="0">
                  <c:v>SIM</c:v>
                </c:pt>
              </c:strCache>
            </c:strRef>
          </c:tx>
          <c:spPr>
            <a:solidFill>
              <a:srgbClr val="5b9bd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Detalhado!$N$25:$N$37</c:f>
              <c:numCache>
                <c:formatCode>0%</c:formatCode>
                <c:ptCount val="13"/>
              </c:numCache>
            </c:numRef>
          </c:val>
        </c:ser>
        <c:ser>
          <c:idx val="1"/>
          <c:order val="1"/>
          <c:tx>
            <c:strRef>
              <c:f>Detalhado!$O$24</c:f>
              <c:strCache>
                <c:ptCount val="1"/>
                <c:pt idx="0">
                  <c:v>PARCIALMENTE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Detalhado!$O$25:$O$37</c:f>
              <c:numCache>
                <c:formatCode>0%</c:formatCode>
                <c:ptCount val="13"/>
              </c:numCache>
            </c:numRef>
          </c:val>
        </c:ser>
        <c:ser>
          <c:idx val="2"/>
          <c:order val="2"/>
          <c:tx>
            <c:strRef>
              <c:f>Detalhado!$P$24</c:f>
              <c:strCache>
                <c:ptCount val="1"/>
                <c:pt idx="0">
                  <c:v>NÃO</c:v>
                </c:pt>
              </c:strCache>
            </c:strRef>
          </c:tx>
          <c:spPr>
            <a:solidFill>
              <a:srgbClr val="a5a5a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Detalhado!$P$25:$P$37</c:f>
              <c:numCache>
                <c:formatCode>0%</c:formatCode>
                <c:ptCount val="13"/>
              </c:numCache>
            </c:numRef>
          </c:val>
        </c:ser>
        <c:ser>
          <c:idx val="3"/>
          <c:order val="3"/>
          <c:tx>
            <c:strRef>
              <c:f>Detalhado!$Q$24</c:f>
              <c:strCache>
                <c:ptCount val="1"/>
                <c:pt idx="0">
                  <c:v>N/A</c:v>
                </c:pt>
              </c:strCache>
            </c:strRef>
          </c:tx>
          <c:spPr>
            <a:solidFill>
              <a:srgbClr val="ffc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Detalhado!$M$25:$M$37</c:f>
              <c:strCache>
                <c:ptCount val="13"/>
                <c:pt idx="0">
                  <c:v>visão</c:v>
                </c:pt>
                <c:pt idx="1">
                  <c:v>modelo de caso de uso</c:v>
                </c:pt>
                <c:pt idx="2">
                  <c:v>especificações de requisitos (casos de uso e/ou histórias do usuário)?</c:v>
                </c:pt>
                <c:pt idx="3">
                  <c:v>glossário</c:v>
                </c:pt>
                <c:pt idx="4">
                  <c:v>atas de reuniões</c:v>
                </c:pt>
                <c:pt idx="5">
                  <c:v>modelo de arquitetura</c:v>
                </c:pt>
                <c:pt idx="6">
                  <c:v>codigo fonte </c:v>
                </c:pt>
                <c:pt idx="7">
                  <c:v>roteiro de testes</c:v>
                </c:pt>
                <c:pt idx="8">
                  <c:v>guia de implantação</c:v>
                </c:pt>
                <c:pt idx="9">
                  <c:v>manual do usuário (pode ser help on-line)</c:v>
                </c:pt>
                <c:pt idx="10">
                  <c:v>planilha de planejamento e controle do projeto</c:v>
                </c:pt>
                <c:pt idx="11">
                  <c:v>repositório (itens de configuração)</c:v>
                </c:pt>
                <c:pt idx="12">
                  <c:v>requisição de mudanças</c:v>
                </c:pt>
              </c:strCache>
            </c:strRef>
          </c:cat>
          <c:val>
            <c:numRef>
              <c:f>Detalhado!$Q$25:$Q$37</c:f>
              <c:numCache>
                <c:formatCode>0%</c:formatCode>
                <c:ptCount val="13"/>
              </c:numCache>
            </c:numRef>
          </c:val>
        </c:ser>
        <c:gapWidth val="150"/>
        <c:overlap val="0"/>
        <c:axId val="51297524"/>
        <c:axId val="20882870"/>
      </c:barChart>
      <c:catAx>
        <c:axId val="512975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0882870"/>
        <c:crosses val="autoZero"/>
        <c:auto val="1"/>
        <c:lblAlgn val="ctr"/>
        <c:lblOffset val="100"/>
        <c:noMultiLvlLbl val="0"/>
      </c:catAx>
      <c:valAx>
        <c:axId val="20882870"/>
        <c:scaling>
          <c:orientation val="minMax"/>
        </c:scaling>
        <c:delete val="0"/>
        <c:axPos val="l"/>
        <c:numFmt formatCode="0%" sourceLinked="1"/>
        <c:majorTickMark val="cross"/>
        <c:minorTickMark val="cross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129752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Relationship Id="rId3" Type="http://schemas.openxmlformats.org/officeDocument/2006/relationships/chart" Target="../charts/chart4.xml"/><Relationship Id="rId4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9360</xdr:colOff>
      <xdr:row>7</xdr:row>
      <xdr:rowOff>103320</xdr:rowOff>
    </xdr:from>
    <xdr:to>
      <xdr:col>1</xdr:col>
      <xdr:colOff>2507400</xdr:colOff>
      <xdr:row>18</xdr:row>
      <xdr:rowOff>160200</xdr:rowOff>
    </xdr:to>
    <xdr:graphicFrame>
      <xdr:nvGraphicFramePr>
        <xdr:cNvPr id="0" name="Chart 1"/>
        <xdr:cNvGraphicFramePr/>
      </xdr:nvGraphicFramePr>
      <xdr:xfrm>
        <a:off x="9360" y="1466640"/>
        <a:ext cx="4209840" cy="215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9</xdr:col>
      <xdr:colOff>447840</xdr:colOff>
      <xdr:row>20</xdr:row>
      <xdr:rowOff>161640</xdr:rowOff>
    </xdr:to>
    <xdr:graphicFrame>
      <xdr:nvGraphicFramePr>
        <xdr:cNvPr id="1" name="Chart 2"/>
        <xdr:cNvGraphicFramePr/>
      </xdr:nvGraphicFramePr>
      <xdr:xfrm>
        <a:off x="0" y="0"/>
        <a:ext cx="6781320" cy="3971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228600</xdr:colOff>
      <xdr:row>0</xdr:row>
      <xdr:rowOff>0</xdr:rowOff>
    </xdr:from>
    <xdr:to>
      <xdr:col>20</xdr:col>
      <xdr:colOff>251640</xdr:colOff>
      <xdr:row>20</xdr:row>
      <xdr:rowOff>161640</xdr:rowOff>
    </xdr:to>
    <xdr:graphicFrame>
      <xdr:nvGraphicFramePr>
        <xdr:cNvPr id="2" name="Chart 3"/>
        <xdr:cNvGraphicFramePr/>
      </xdr:nvGraphicFramePr>
      <xdr:xfrm>
        <a:off x="7176240" y="0"/>
        <a:ext cx="6657480" cy="3971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20</xdr:row>
      <xdr:rowOff>0</xdr:rowOff>
    </xdr:from>
    <xdr:to>
      <xdr:col>9</xdr:col>
      <xdr:colOff>466920</xdr:colOff>
      <xdr:row>39</xdr:row>
      <xdr:rowOff>132840</xdr:rowOff>
    </xdr:to>
    <xdr:graphicFrame>
      <xdr:nvGraphicFramePr>
        <xdr:cNvPr id="3" name="Chart 4"/>
        <xdr:cNvGraphicFramePr/>
      </xdr:nvGraphicFramePr>
      <xdr:xfrm>
        <a:off x="0" y="3809880"/>
        <a:ext cx="6800400" cy="3933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237960</xdr:colOff>
      <xdr:row>20</xdr:row>
      <xdr:rowOff>9360</xdr:rowOff>
    </xdr:from>
    <xdr:to>
      <xdr:col>20</xdr:col>
      <xdr:colOff>251640</xdr:colOff>
      <xdr:row>39</xdr:row>
      <xdr:rowOff>132840</xdr:rowOff>
    </xdr:to>
    <xdr:graphicFrame>
      <xdr:nvGraphicFramePr>
        <xdr:cNvPr id="4" name="Chart 5"/>
        <xdr:cNvGraphicFramePr/>
      </xdr:nvGraphicFramePr>
      <xdr:xfrm>
        <a:off x="7185600" y="3819240"/>
        <a:ext cx="6648120" cy="3924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4.29"/>
    <col collapsed="false" customWidth="true" hidden="false" outlineLevel="0" max="2" min="2" style="0" width="39"/>
    <col collapsed="false" customWidth="true" hidden="false" outlineLevel="0" max="26" min="3" style="0" width="8.71"/>
  </cols>
  <sheetData>
    <row r="1" customFormat="false" ht="17.35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3" t="s">
        <v>2</v>
      </c>
    </row>
    <row r="3" customFormat="false" ht="15" hidden="false" customHeight="false" outlineLevel="0" collapsed="false">
      <c r="A3" s="2" t="s">
        <v>3</v>
      </c>
      <c r="B3" s="4" t="n">
        <f aca="false">'Ver-Iniciação1'!$F$2</f>
        <v>0.952380952380952</v>
      </c>
    </row>
    <row r="4" customFormat="false" ht="15" hidden="false" customHeight="false" outlineLevel="0" collapsed="false">
      <c r="A4" s="2" t="s">
        <v>4</v>
      </c>
      <c r="B4" s="4" t="e">
        <f aca="false">'Ver-Elaboração1'!$F$2</f>
        <v>#DIV/0!</v>
      </c>
    </row>
    <row r="5" customFormat="false" ht="15" hidden="false" customHeight="false" outlineLevel="0" collapsed="false">
      <c r="A5" s="2" t="s">
        <v>5</v>
      </c>
      <c r="B5" s="4" t="e">
        <f aca="false">'Ver-Construção1'!$F$2</f>
        <v>#DIV/0!</v>
      </c>
    </row>
    <row r="6" customFormat="false" ht="15" hidden="false" customHeight="false" outlineLevel="0" collapsed="false">
      <c r="A6" s="2" t="s">
        <v>6</v>
      </c>
      <c r="B6" s="4" t="e">
        <f aca="false">'Ver-Transição1'!$F$2</f>
        <v>#DIV/0!</v>
      </c>
    </row>
    <row r="8" customFormat="false" ht="15" hidden="false" customHeight="false" outlineLevel="0" collapsed="false">
      <c r="B8" s="5"/>
    </row>
    <row r="9" customFormat="false" ht="15" hidden="false" customHeight="false" outlineLevel="0" collapsed="false">
      <c r="B9" s="5"/>
    </row>
    <row r="10" customFormat="false" ht="15" hidden="false" customHeight="false" outlineLevel="0" collapsed="false">
      <c r="B10" s="5"/>
    </row>
    <row r="11" customFormat="false" ht="15" hidden="false" customHeight="false" outlineLevel="0" collapsed="false">
      <c r="B11" s="5"/>
    </row>
    <row r="12" customFormat="false" ht="15" hidden="false" customHeight="false" outlineLevel="0" collapsed="false">
      <c r="B12" s="5"/>
    </row>
    <row r="13" customFormat="false" ht="15" hidden="false" customHeight="false" outlineLevel="0" collapsed="false">
      <c r="B13" s="5"/>
    </row>
    <row r="14" customFormat="false" ht="15" hidden="false" customHeight="false" outlineLevel="0" collapsed="false">
      <c r="B14" s="5"/>
    </row>
    <row r="15" customFormat="false" ht="15" hidden="false" customHeight="false" outlineLevel="0" collapsed="false">
      <c r="B15" s="5"/>
    </row>
    <row r="16" customFormat="false" ht="15" hidden="false" customHeight="false" outlineLevel="0" collapsed="false">
      <c r="B16" s="5"/>
    </row>
    <row r="17" customFormat="false" ht="15" hidden="false" customHeight="false" outlineLevel="0" collapsed="false">
      <c r="B17" s="5"/>
    </row>
    <row r="18" customFormat="false" ht="15" hidden="false" customHeight="false" outlineLevel="0" collapsed="false">
      <c r="B18" s="5"/>
    </row>
    <row r="19" customFormat="false" ht="15" hidden="false" customHeight="false" outlineLevel="0" collapsed="false">
      <c r="B19" s="5"/>
    </row>
    <row r="20" customFormat="false" ht="15" hidden="false" customHeight="false" outlineLevel="0" collapsed="false">
      <c r="B20" s="5"/>
    </row>
    <row r="21" customFormat="false" ht="15.75" hidden="false" customHeight="true" outlineLevel="0" collapsed="false">
      <c r="B21" s="5"/>
    </row>
    <row r="22" customFormat="false" ht="15.75" hidden="false" customHeight="true" outlineLevel="0" collapsed="false">
      <c r="B22" s="5"/>
    </row>
    <row r="23" customFormat="false" ht="15.75" hidden="false" customHeight="true" outlineLevel="0" collapsed="false">
      <c r="B23" s="5"/>
    </row>
    <row r="24" customFormat="false" ht="15.75" hidden="false" customHeight="true" outlineLevel="0" collapsed="false">
      <c r="B24" s="5"/>
    </row>
    <row r="25" customFormat="false" ht="15.75" hidden="false" customHeight="true" outlineLevel="0" collapsed="false">
      <c r="B25" s="5"/>
    </row>
    <row r="26" customFormat="false" ht="15.75" hidden="false" customHeight="true" outlineLevel="0" collapsed="false">
      <c r="B26" s="5"/>
    </row>
    <row r="27" customFormat="false" ht="15.75" hidden="false" customHeight="true" outlineLevel="0" collapsed="false">
      <c r="B27" s="5"/>
    </row>
    <row r="28" customFormat="false" ht="15.75" hidden="false" customHeight="true" outlineLevel="0" collapsed="false">
      <c r="B28" s="5"/>
    </row>
    <row r="29" customFormat="false" ht="15.75" hidden="false" customHeight="true" outlineLevel="0" collapsed="false">
      <c r="B29" s="5"/>
    </row>
    <row r="30" customFormat="false" ht="15.75" hidden="false" customHeight="true" outlineLevel="0" collapsed="false">
      <c r="B30" s="5"/>
    </row>
    <row r="31" customFormat="false" ht="15.75" hidden="false" customHeight="true" outlineLevel="0" collapsed="false">
      <c r="B31" s="5"/>
    </row>
    <row r="32" customFormat="false" ht="15.75" hidden="false" customHeight="true" outlineLevel="0" collapsed="false">
      <c r="B32" s="5"/>
    </row>
    <row r="33" customFormat="false" ht="15.75" hidden="false" customHeight="true" outlineLevel="0" collapsed="false">
      <c r="B33" s="5"/>
    </row>
    <row r="34" customFormat="false" ht="15.75" hidden="false" customHeight="true" outlineLevel="0" collapsed="false">
      <c r="B34" s="5"/>
    </row>
    <row r="35" customFormat="false" ht="15.75" hidden="false" customHeight="true" outlineLevel="0" collapsed="false">
      <c r="B35" s="5"/>
    </row>
    <row r="36" customFormat="false" ht="15.75" hidden="false" customHeight="true" outlineLevel="0" collapsed="false">
      <c r="B36" s="5"/>
    </row>
    <row r="37" customFormat="false" ht="15.75" hidden="false" customHeight="true" outlineLevel="0" collapsed="false">
      <c r="B37" s="5"/>
    </row>
    <row r="38" customFormat="false" ht="15.75" hidden="false" customHeight="true" outlineLevel="0" collapsed="false">
      <c r="B38" s="5"/>
    </row>
    <row r="39" customFormat="false" ht="15.75" hidden="false" customHeight="true" outlineLevel="0" collapsed="false">
      <c r="B39" s="5"/>
    </row>
    <row r="40" customFormat="false" ht="15.75" hidden="false" customHeight="true" outlineLevel="0" collapsed="false">
      <c r="B40" s="5"/>
    </row>
    <row r="41" customFormat="false" ht="15.75" hidden="false" customHeight="true" outlineLevel="0" collapsed="false">
      <c r="B41" s="5"/>
    </row>
    <row r="42" customFormat="false" ht="15.75" hidden="false" customHeight="true" outlineLevel="0" collapsed="false">
      <c r="B42" s="5"/>
    </row>
    <row r="43" customFormat="false" ht="15.75" hidden="false" customHeight="true" outlineLevel="0" collapsed="false">
      <c r="B43" s="5"/>
    </row>
    <row r="44" customFormat="false" ht="15.75" hidden="false" customHeight="true" outlineLevel="0" collapsed="false">
      <c r="B44" s="5"/>
    </row>
    <row r="45" customFormat="false" ht="15.75" hidden="false" customHeight="true" outlineLevel="0" collapsed="false">
      <c r="B45" s="5"/>
    </row>
    <row r="46" customFormat="false" ht="15.75" hidden="false" customHeight="true" outlineLevel="0" collapsed="false">
      <c r="B46" s="5"/>
    </row>
    <row r="47" customFormat="false" ht="15.75" hidden="false" customHeight="true" outlineLevel="0" collapsed="false">
      <c r="B47" s="5"/>
    </row>
    <row r="48" customFormat="false" ht="15.75" hidden="false" customHeight="true" outlineLevel="0" collapsed="false">
      <c r="B48" s="5"/>
    </row>
    <row r="49" customFormat="false" ht="15.75" hidden="false" customHeight="true" outlineLevel="0" collapsed="false">
      <c r="B49" s="5"/>
    </row>
    <row r="50" customFormat="false" ht="15.75" hidden="false" customHeight="true" outlineLevel="0" collapsed="false">
      <c r="B50" s="5"/>
    </row>
    <row r="51" customFormat="false" ht="15.75" hidden="false" customHeight="true" outlineLevel="0" collapsed="false">
      <c r="B51" s="5"/>
    </row>
    <row r="52" customFormat="false" ht="15.75" hidden="false" customHeight="true" outlineLevel="0" collapsed="false">
      <c r="B52" s="5"/>
    </row>
    <row r="53" customFormat="false" ht="15.75" hidden="false" customHeight="true" outlineLevel="0" collapsed="false">
      <c r="B53" s="5"/>
    </row>
    <row r="54" customFormat="false" ht="15.75" hidden="false" customHeight="true" outlineLevel="0" collapsed="false">
      <c r="B54" s="5"/>
    </row>
    <row r="55" customFormat="false" ht="15.75" hidden="false" customHeight="true" outlineLevel="0" collapsed="false">
      <c r="B55" s="5"/>
    </row>
    <row r="56" customFormat="false" ht="15.75" hidden="false" customHeight="true" outlineLevel="0" collapsed="false">
      <c r="B56" s="5"/>
    </row>
    <row r="57" customFormat="false" ht="15.75" hidden="false" customHeight="true" outlineLevel="0" collapsed="false">
      <c r="B57" s="5"/>
    </row>
    <row r="58" customFormat="false" ht="15.75" hidden="false" customHeight="true" outlineLevel="0" collapsed="false">
      <c r="B58" s="5"/>
    </row>
    <row r="59" customFormat="false" ht="15.75" hidden="false" customHeight="true" outlineLevel="0" collapsed="false">
      <c r="B59" s="5"/>
    </row>
    <row r="60" customFormat="false" ht="15.75" hidden="false" customHeight="true" outlineLevel="0" collapsed="false">
      <c r="B60" s="5"/>
    </row>
    <row r="61" customFormat="false" ht="15.75" hidden="false" customHeight="true" outlineLevel="0" collapsed="false">
      <c r="B61" s="5"/>
    </row>
    <row r="62" customFormat="false" ht="15.75" hidden="false" customHeight="true" outlineLevel="0" collapsed="false">
      <c r="B62" s="5"/>
    </row>
    <row r="63" customFormat="false" ht="15.75" hidden="false" customHeight="true" outlineLevel="0" collapsed="false">
      <c r="B63" s="5"/>
    </row>
    <row r="64" customFormat="false" ht="15.75" hidden="false" customHeight="true" outlineLevel="0" collapsed="false">
      <c r="B64" s="5"/>
    </row>
    <row r="65" customFormat="false" ht="15.75" hidden="false" customHeight="true" outlineLevel="0" collapsed="false">
      <c r="B65" s="5"/>
    </row>
    <row r="66" customFormat="false" ht="15.75" hidden="false" customHeight="true" outlineLevel="0" collapsed="false">
      <c r="B66" s="5"/>
    </row>
    <row r="67" customFormat="false" ht="15.75" hidden="false" customHeight="true" outlineLevel="0" collapsed="false">
      <c r="B67" s="5"/>
    </row>
    <row r="68" customFormat="false" ht="15.75" hidden="false" customHeight="true" outlineLevel="0" collapsed="false">
      <c r="B68" s="5"/>
    </row>
    <row r="69" customFormat="false" ht="15.75" hidden="false" customHeight="true" outlineLevel="0" collapsed="false">
      <c r="B69" s="5"/>
    </row>
    <row r="70" customFormat="false" ht="15.75" hidden="false" customHeight="true" outlineLevel="0" collapsed="false">
      <c r="B70" s="5"/>
    </row>
    <row r="71" customFormat="false" ht="15.75" hidden="false" customHeight="true" outlineLevel="0" collapsed="false">
      <c r="B71" s="5"/>
    </row>
    <row r="72" customFormat="false" ht="15.75" hidden="false" customHeight="true" outlineLevel="0" collapsed="false">
      <c r="B72" s="5"/>
    </row>
    <row r="73" customFormat="false" ht="15.75" hidden="false" customHeight="true" outlineLevel="0" collapsed="false">
      <c r="B73" s="5"/>
    </row>
    <row r="74" customFormat="false" ht="15.75" hidden="false" customHeight="true" outlineLevel="0" collapsed="false">
      <c r="B74" s="5"/>
    </row>
    <row r="75" customFormat="false" ht="15.75" hidden="false" customHeight="true" outlineLevel="0" collapsed="false">
      <c r="B75" s="5"/>
    </row>
    <row r="76" customFormat="false" ht="15.75" hidden="false" customHeight="true" outlineLevel="0" collapsed="false">
      <c r="B76" s="5"/>
    </row>
    <row r="77" customFormat="false" ht="15.75" hidden="false" customHeight="true" outlineLevel="0" collapsed="false">
      <c r="B77" s="5"/>
    </row>
    <row r="78" customFormat="false" ht="15.75" hidden="false" customHeight="true" outlineLevel="0" collapsed="false">
      <c r="B78" s="5"/>
    </row>
    <row r="79" customFormat="false" ht="15.75" hidden="false" customHeight="true" outlineLevel="0" collapsed="false">
      <c r="B79" s="5"/>
    </row>
    <row r="80" customFormat="false" ht="15.75" hidden="false" customHeight="true" outlineLevel="0" collapsed="false">
      <c r="B80" s="5"/>
    </row>
    <row r="81" customFormat="false" ht="15.75" hidden="false" customHeight="true" outlineLevel="0" collapsed="false">
      <c r="B81" s="5"/>
    </row>
    <row r="82" customFormat="false" ht="15.75" hidden="false" customHeight="true" outlineLevel="0" collapsed="false">
      <c r="B82" s="5"/>
    </row>
    <row r="83" customFormat="false" ht="15.75" hidden="false" customHeight="true" outlineLevel="0" collapsed="false">
      <c r="B83" s="5"/>
    </row>
    <row r="84" customFormat="false" ht="15.75" hidden="false" customHeight="true" outlineLevel="0" collapsed="false">
      <c r="B84" s="5"/>
    </row>
    <row r="85" customFormat="false" ht="15.75" hidden="false" customHeight="true" outlineLevel="0" collapsed="false">
      <c r="B85" s="5"/>
    </row>
    <row r="86" customFormat="false" ht="15.75" hidden="false" customHeight="true" outlineLevel="0" collapsed="false">
      <c r="B86" s="5"/>
    </row>
    <row r="87" customFormat="false" ht="15.75" hidden="false" customHeight="true" outlineLevel="0" collapsed="false">
      <c r="B87" s="5"/>
    </row>
    <row r="88" customFormat="false" ht="15.75" hidden="false" customHeight="true" outlineLevel="0" collapsed="false">
      <c r="B88" s="5"/>
    </row>
    <row r="89" customFormat="false" ht="15.75" hidden="false" customHeight="true" outlineLevel="0" collapsed="false">
      <c r="B89" s="5"/>
    </row>
    <row r="90" customFormat="false" ht="15.75" hidden="false" customHeight="true" outlineLevel="0" collapsed="false">
      <c r="B90" s="5"/>
    </row>
    <row r="91" customFormat="false" ht="15.75" hidden="false" customHeight="true" outlineLevel="0" collapsed="false">
      <c r="B91" s="5"/>
    </row>
    <row r="92" customFormat="false" ht="15.75" hidden="false" customHeight="true" outlineLevel="0" collapsed="false">
      <c r="B92" s="5"/>
    </row>
    <row r="93" customFormat="false" ht="15.75" hidden="false" customHeight="true" outlineLevel="0" collapsed="false">
      <c r="B93" s="5"/>
    </row>
    <row r="94" customFormat="false" ht="15.75" hidden="false" customHeight="true" outlineLevel="0" collapsed="false">
      <c r="B94" s="5"/>
    </row>
    <row r="95" customFormat="false" ht="15.75" hidden="false" customHeight="true" outlineLevel="0" collapsed="false">
      <c r="B95" s="5"/>
    </row>
    <row r="96" customFormat="false" ht="15.75" hidden="false" customHeight="true" outlineLevel="0" collapsed="false">
      <c r="B96" s="5"/>
    </row>
    <row r="97" customFormat="false" ht="15.75" hidden="false" customHeight="true" outlineLevel="0" collapsed="false">
      <c r="B97" s="5"/>
    </row>
    <row r="98" customFormat="false" ht="15.75" hidden="false" customHeight="true" outlineLevel="0" collapsed="false">
      <c r="B98" s="5"/>
    </row>
    <row r="99" customFormat="false" ht="15.75" hidden="false" customHeight="true" outlineLevel="0" collapsed="false">
      <c r="B99" s="5"/>
    </row>
    <row r="100" customFormat="false" ht="15.75" hidden="false" customHeight="true" outlineLevel="0" collapsed="false">
      <c r="B100" s="5"/>
    </row>
    <row r="101" customFormat="false" ht="15.75" hidden="false" customHeight="true" outlineLevel="0" collapsed="false">
      <c r="B101" s="5"/>
    </row>
    <row r="102" customFormat="false" ht="15.75" hidden="false" customHeight="true" outlineLevel="0" collapsed="false">
      <c r="B102" s="5"/>
    </row>
    <row r="103" customFormat="false" ht="15.75" hidden="false" customHeight="true" outlineLevel="0" collapsed="false">
      <c r="B103" s="5"/>
    </row>
    <row r="104" customFormat="false" ht="15.75" hidden="false" customHeight="true" outlineLevel="0" collapsed="false">
      <c r="B104" s="5"/>
    </row>
    <row r="105" customFormat="false" ht="15.75" hidden="false" customHeight="true" outlineLevel="0" collapsed="false">
      <c r="B105" s="5"/>
    </row>
    <row r="106" customFormat="false" ht="15.75" hidden="false" customHeight="true" outlineLevel="0" collapsed="false">
      <c r="B106" s="5"/>
    </row>
    <row r="107" customFormat="false" ht="15.75" hidden="false" customHeight="true" outlineLevel="0" collapsed="false">
      <c r="B107" s="5"/>
    </row>
    <row r="108" customFormat="false" ht="15.75" hidden="false" customHeight="true" outlineLevel="0" collapsed="false">
      <c r="B108" s="5"/>
    </row>
    <row r="109" customFormat="false" ht="15.75" hidden="false" customHeight="true" outlineLevel="0" collapsed="false">
      <c r="B109" s="5"/>
    </row>
    <row r="110" customFormat="false" ht="15.75" hidden="false" customHeight="true" outlineLevel="0" collapsed="false">
      <c r="B110" s="5"/>
    </row>
    <row r="111" customFormat="false" ht="15.75" hidden="false" customHeight="true" outlineLevel="0" collapsed="false">
      <c r="B111" s="5"/>
    </row>
    <row r="112" customFormat="false" ht="15.75" hidden="false" customHeight="true" outlineLevel="0" collapsed="false">
      <c r="B112" s="5"/>
    </row>
    <row r="113" customFormat="false" ht="15.75" hidden="false" customHeight="true" outlineLevel="0" collapsed="false">
      <c r="B113" s="5"/>
    </row>
    <row r="114" customFormat="false" ht="15.75" hidden="false" customHeight="true" outlineLevel="0" collapsed="false">
      <c r="B114" s="5"/>
    </row>
    <row r="115" customFormat="false" ht="15.75" hidden="false" customHeight="true" outlineLevel="0" collapsed="false">
      <c r="B115" s="5"/>
    </row>
    <row r="116" customFormat="false" ht="15.75" hidden="false" customHeight="true" outlineLevel="0" collapsed="false">
      <c r="B116" s="5"/>
    </row>
    <row r="117" customFormat="false" ht="15.75" hidden="false" customHeight="true" outlineLevel="0" collapsed="false">
      <c r="B117" s="5"/>
    </row>
    <row r="118" customFormat="false" ht="15.75" hidden="false" customHeight="true" outlineLevel="0" collapsed="false">
      <c r="B118" s="5"/>
    </row>
    <row r="119" customFormat="false" ht="15.75" hidden="false" customHeight="true" outlineLevel="0" collapsed="false">
      <c r="B119" s="5"/>
    </row>
    <row r="120" customFormat="false" ht="15.75" hidden="false" customHeight="true" outlineLevel="0" collapsed="false">
      <c r="B120" s="5"/>
    </row>
    <row r="121" customFormat="false" ht="15.75" hidden="false" customHeight="true" outlineLevel="0" collapsed="false">
      <c r="B121" s="5"/>
    </row>
    <row r="122" customFormat="false" ht="15.75" hidden="false" customHeight="true" outlineLevel="0" collapsed="false">
      <c r="B122" s="5"/>
    </row>
    <row r="123" customFormat="false" ht="15.75" hidden="false" customHeight="true" outlineLevel="0" collapsed="false">
      <c r="B123" s="5"/>
    </row>
    <row r="124" customFormat="false" ht="15.75" hidden="false" customHeight="true" outlineLevel="0" collapsed="false">
      <c r="B124" s="5"/>
    </row>
    <row r="125" customFormat="false" ht="15.75" hidden="false" customHeight="true" outlineLevel="0" collapsed="false">
      <c r="B125" s="5"/>
    </row>
    <row r="126" customFormat="false" ht="15.75" hidden="false" customHeight="true" outlineLevel="0" collapsed="false">
      <c r="B126" s="5"/>
    </row>
    <row r="127" customFormat="false" ht="15.75" hidden="false" customHeight="true" outlineLevel="0" collapsed="false">
      <c r="B127" s="5"/>
    </row>
    <row r="128" customFormat="false" ht="15.75" hidden="false" customHeight="true" outlineLevel="0" collapsed="false">
      <c r="B128" s="5"/>
    </row>
    <row r="129" customFormat="false" ht="15.75" hidden="false" customHeight="true" outlineLevel="0" collapsed="false">
      <c r="B129" s="5"/>
    </row>
    <row r="130" customFormat="false" ht="15.75" hidden="false" customHeight="true" outlineLevel="0" collapsed="false">
      <c r="B130" s="5"/>
    </row>
    <row r="131" customFormat="false" ht="15.75" hidden="false" customHeight="true" outlineLevel="0" collapsed="false">
      <c r="B131" s="5"/>
    </row>
    <row r="132" customFormat="false" ht="15.75" hidden="false" customHeight="true" outlineLevel="0" collapsed="false">
      <c r="B132" s="5"/>
    </row>
    <row r="133" customFormat="false" ht="15.75" hidden="false" customHeight="true" outlineLevel="0" collapsed="false">
      <c r="B133" s="5"/>
    </row>
    <row r="134" customFormat="false" ht="15.75" hidden="false" customHeight="true" outlineLevel="0" collapsed="false">
      <c r="B134" s="5"/>
    </row>
    <row r="135" customFormat="false" ht="15.75" hidden="false" customHeight="true" outlineLevel="0" collapsed="false">
      <c r="B135" s="5"/>
    </row>
    <row r="136" customFormat="false" ht="15.75" hidden="false" customHeight="true" outlineLevel="0" collapsed="false">
      <c r="B136" s="5"/>
    </row>
    <row r="137" customFormat="false" ht="15.75" hidden="false" customHeight="true" outlineLevel="0" collapsed="false">
      <c r="B137" s="5"/>
    </row>
    <row r="138" customFormat="false" ht="15.75" hidden="false" customHeight="true" outlineLevel="0" collapsed="false">
      <c r="B138" s="5"/>
    </row>
    <row r="139" customFormat="false" ht="15.75" hidden="false" customHeight="true" outlineLevel="0" collapsed="false">
      <c r="B139" s="5"/>
    </row>
    <row r="140" customFormat="false" ht="15.75" hidden="false" customHeight="true" outlineLevel="0" collapsed="false">
      <c r="B140" s="5"/>
    </row>
    <row r="141" customFormat="false" ht="15.75" hidden="false" customHeight="true" outlineLevel="0" collapsed="false">
      <c r="B141" s="5"/>
    </row>
    <row r="142" customFormat="false" ht="15.75" hidden="false" customHeight="true" outlineLevel="0" collapsed="false">
      <c r="B142" s="5"/>
    </row>
    <row r="143" customFormat="false" ht="15.75" hidden="false" customHeight="true" outlineLevel="0" collapsed="false">
      <c r="B143" s="5"/>
    </row>
    <row r="144" customFormat="false" ht="15.75" hidden="false" customHeight="true" outlineLevel="0" collapsed="false">
      <c r="B144" s="5"/>
    </row>
    <row r="145" customFormat="false" ht="15.75" hidden="false" customHeight="true" outlineLevel="0" collapsed="false">
      <c r="B145" s="5"/>
    </row>
    <row r="146" customFormat="false" ht="15.75" hidden="false" customHeight="true" outlineLevel="0" collapsed="false">
      <c r="B146" s="5"/>
    </row>
    <row r="147" customFormat="false" ht="15.75" hidden="false" customHeight="true" outlineLevel="0" collapsed="false">
      <c r="B147" s="5"/>
    </row>
    <row r="148" customFormat="false" ht="15.75" hidden="false" customHeight="true" outlineLevel="0" collapsed="false">
      <c r="B148" s="5"/>
    </row>
    <row r="149" customFormat="false" ht="15.75" hidden="false" customHeight="true" outlineLevel="0" collapsed="false">
      <c r="B149" s="5"/>
    </row>
    <row r="150" customFormat="false" ht="15.75" hidden="false" customHeight="true" outlineLevel="0" collapsed="false">
      <c r="B150" s="5"/>
    </row>
    <row r="151" customFormat="false" ht="15.75" hidden="false" customHeight="true" outlineLevel="0" collapsed="false">
      <c r="B151" s="5"/>
    </row>
    <row r="152" customFormat="false" ht="15.75" hidden="false" customHeight="true" outlineLevel="0" collapsed="false">
      <c r="B152" s="5"/>
    </row>
    <row r="153" customFormat="false" ht="15.75" hidden="false" customHeight="true" outlineLevel="0" collapsed="false">
      <c r="B153" s="5"/>
    </row>
    <row r="154" customFormat="false" ht="15.75" hidden="false" customHeight="true" outlineLevel="0" collapsed="false">
      <c r="B154" s="5"/>
    </row>
    <row r="155" customFormat="false" ht="15.75" hidden="false" customHeight="true" outlineLevel="0" collapsed="false">
      <c r="B155" s="5"/>
    </row>
    <row r="156" customFormat="false" ht="15.75" hidden="false" customHeight="true" outlineLevel="0" collapsed="false">
      <c r="B156" s="5"/>
    </row>
    <row r="157" customFormat="false" ht="15.75" hidden="false" customHeight="true" outlineLevel="0" collapsed="false">
      <c r="B157" s="5"/>
    </row>
    <row r="158" customFormat="false" ht="15.75" hidden="false" customHeight="true" outlineLevel="0" collapsed="false">
      <c r="B158" s="5"/>
    </row>
    <row r="159" customFormat="false" ht="15.75" hidden="false" customHeight="true" outlineLevel="0" collapsed="false">
      <c r="B159" s="5"/>
    </row>
    <row r="160" customFormat="false" ht="15.75" hidden="false" customHeight="true" outlineLevel="0" collapsed="false">
      <c r="B160" s="5"/>
    </row>
    <row r="161" customFormat="false" ht="15.75" hidden="false" customHeight="true" outlineLevel="0" collapsed="false">
      <c r="B161" s="5"/>
    </row>
    <row r="162" customFormat="false" ht="15.75" hidden="false" customHeight="true" outlineLevel="0" collapsed="false">
      <c r="B162" s="5"/>
    </row>
    <row r="163" customFormat="false" ht="15.75" hidden="false" customHeight="true" outlineLevel="0" collapsed="false">
      <c r="B163" s="5"/>
    </row>
    <row r="164" customFormat="false" ht="15.75" hidden="false" customHeight="true" outlineLevel="0" collapsed="false">
      <c r="B164" s="5"/>
    </row>
    <row r="165" customFormat="false" ht="15.75" hidden="false" customHeight="true" outlineLevel="0" collapsed="false">
      <c r="B165" s="5"/>
    </row>
    <row r="166" customFormat="false" ht="15.75" hidden="false" customHeight="true" outlineLevel="0" collapsed="false">
      <c r="B166" s="5"/>
    </row>
    <row r="167" customFormat="false" ht="15.75" hidden="false" customHeight="true" outlineLevel="0" collapsed="false">
      <c r="B167" s="5"/>
    </row>
    <row r="168" customFormat="false" ht="15.75" hidden="false" customHeight="true" outlineLevel="0" collapsed="false">
      <c r="B168" s="5"/>
    </row>
    <row r="169" customFormat="false" ht="15.75" hidden="false" customHeight="true" outlineLevel="0" collapsed="false">
      <c r="B169" s="5"/>
    </row>
    <row r="170" customFormat="false" ht="15.75" hidden="false" customHeight="true" outlineLevel="0" collapsed="false">
      <c r="B170" s="5"/>
    </row>
    <row r="171" customFormat="false" ht="15.75" hidden="false" customHeight="true" outlineLevel="0" collapsed="false">
      <c r="B171" s="5"/>
    </row>
    <row r="172" customFormat="false" ht="15.75" hidden="false" customHeight="true" outlineLevel="0" collapsed="false">
      <c r="B172" s="5"/>
    </row>
    <row r="173" customFormat="false" ht="15.75" hidden="false" customHeight="true" outlineLevel="0" collapsed="false">
      <c r="B173" s="5"/>
    </row>
    <row r="174" customFormat="false" ht="15.75" hidden="false" customHeight="true" outlineLevel="0" collapsed="false">
      <c r="B174" s="5"/>
    </row>
    <row r="175" customFormat="false" ht="15.75" hidden="false" customHeight="true" outlineLevel="0" collapsed="false">
      <c r="B175" s="5"/>
    </row>
    <row r="176" customFormat="false" ht="15.75" hidden="false" customHeight="true" outlineLevel="0" collapsed="false">
      <c r="B176" s="5"/>
    </row>
    <row r="177" customFormat="false" ht="15.75" hidden="false" customHeight="true" outlineLevel="0" collapsed="false">
      <c r="B177" s="5"/>
    </row>
    <row r="178" customFormat="false" ht="15.75" hidden="false" customHeight="true" outlineLevel="0" collapsed="false">
      <c r="B178" s="5"/>
    </row>
    <row r="179" customFormat="false" ht="15.75" hidden="false" customHeight="true" outlineLevel="0" collapsed="false">
      <c r="B179" s="5"/>
    </row>
    <row r="180" customFormat="false" ht="15.75" hidden="false" customHeight="true" outlineLevel="0" collapsed="false">
      <c r="B180" s="5"/>
    </row>
    <row r="181" customFormat="false" ht="15.75" hidden="false" customHeight="true" outlineLevel="0" collapsed="false">
      <c r="B181" s="5"/>
    </row>
    <row r="182" customFormat="false" ht="15.75" hidden="false" customHeight="true" outlineLevel="0" collapsed="false">
      <c r="B182" s="5"/>
    </row>
    <row r="183" customFormat="false" ht="15.75" hidden="false" customHeight="true" outlineLevel="0" collapsed="false">
      <c r="B183" s="5"/>
    </row>
    <row r="184" customFormat="false" ht="15.75" hidden="false" customHeight="true" outlineLevel="0" collapsed="false">
      <c r="B184" s="5"/>
    </row>
    <row r="185" customFormat="false" ht="15.75" hidden="false" customHeight="true" outlineLevel="0" collapsed="false">
      <c r="B185" s="5"/>
    </row>
    <row r="186" customFormat="false" ht="15.75" hidden="false" customHeight="true" outlineLevel="0" collapsed="false">
      <c r="B186" s="5"/>
    </row>
    <row r="187" customFormat="false" ht="15.75" hidden="false" customHeight="true" outlineLevel="0" collapsed="false">
      <c r="B187" s="5"/>
    </row>
    <row r="188" customFormat="false" ht="15.75" hidden="false" customHeight="true" outlineLevel="0" collapsed="false">
      <c r="B188" s="5"/>
    </row>
    <row r="189" customFormat="false" ht="15.75" hidden="false" customHeight="true" outlineLevel="0" collapsed="false">
      <c r="B189" s="5"/>
    </row>
    <row r="190" customFormat="false" ht="15.75" hidden="false" customHeight="true" outlineLevel="0" collapsed="false">
      <c r="B190" s="5"/>
    </row>
    <row r="191" customFormat="false" ht="15.75" hidden="false" customHeight="true" outlineLevel="0" collapsed="false">
      <c r="B191" s="5"/>
    </row>
    <row r="192" customFormat="false" ht="15.75" hidden="false" customHeight="true" outlineLevel="0" collapsed="false">
      <c r="B192" s="5"/>
    </row>
    <row r="193" customFormat="false" ht="15.75" hidden="false" customHeight="true" outlineLevel="0" collapsed="false">
      <c r="B193" s="5"/>
    </row>
    <row r="194" customFormat="false" ht="15.75" hidden="false" customHeight="true" outlineLevel="0" collapsed="false">
      <c r="B194" s="5"/>
    </row>
    <row r="195" customFormat="false" ht="15.75" hidden="false" customHeight="true" outlineLevel="0" collapsed="false">
      <c r="B195" s="5"/>
    </row>
    <row r="196" customFormat="false" ht="15.75" hidden="false" customHeight="true" outlineLevel="0" collapsed="false">
      <c r="B196" s="5"/>
    </row>
    <row r="197" customFormat="false" ht="15.75" hidden="false" customHeight="true" outlineLevel="0" collapsed="false">
      <c r="B197" s="5"/>
    </row>
    <row r="198" customFormat="false" ht="15.75" hidden="false" customHeight="true" outlineLevel="0" collapsed="false">
      <c r="B198" s="5"/>
    </row>
    <row r="199" customFormat="false" ht="15.75" hidden="false" customHeight="true" outlineLevel="0" collapsed="false">
      <c r="B199" s="5"/>
    </row>
    <row r="200" customFormat="false" ht="15.75" hidden="false" customHeight="true" outlineLevel="0" collapsed="false">
      <c r="B200" s="5"/>
    </row>
    <row r="201" customFormat="false" ht="15.75" hidden="false" customHeight="true" outlineLevel="0" collapsed="false">
      <c r="B201" s="5"/>
    </row>
    <row r="202" customFormat="false" ht="15.75" hidden="false" customHeight="true" outlineLevel="0" collapsed="false">
      <c r="B202" s="5"/>
    </row>
    <row r="203" customFormat="false" ht="15.75" hidden="false" customHeight="true" outlineLevel="0" collapsed="false">
      <c r="B203" s="5"/>
    </row>
    <row r="204" customFormat="false" ht="15.75" hidden="false" customHeight="true" outlineLevel="0" collapsed="false">
      <c r="B204" s="5"/>
    </row>
    <row r="205" customFormat="false" ht="15.75" hidden="false" customHeight="true" outlineLevel="0" collapsed="false">
      <c r="B205" s="5"/>
    </row>
    <row r="206" customFormat="false" ht="15.75" hidden="false" customHeight="true" outlineLevel="0" collapsed="false">
      <c r="B206" s="5"/>
    </row>
    <row r="207" customFormat="false" ht="15.75" hidden="false" customHeight="true" outlineLevel="0" collapsed="false">
      <c r="B207" s="5"/>
    </row>
    <row r="208" customFormat="false" ht="15.75" hidden="false" customHeight="true" outlineLevel="0" collapsed="false">
      <c r="B208" s="5"/>
    </row>
    <row r="209" customFormat="false" ht="15.75" hidden="false" customHeight="true" outlineLevel="0" collapsed="false">
      <c r="B209" s="5"/>
    </row>
    <row r="210" customFormat="false" ht="15.75" hidden="false" customHeight="true" outlineLevel="0" collapsed="false">
      <c r="B210" s="5"/>
    </row>
    <row r="211" customFormat="false" ht="15.75" hidden="false" customHeight="true" outlineLevel="0" collapsed="false">
      <c r="B211" s="5"/>
    </row>
    <row r="212" customFormat="false" ht="15.75" hidden="false" customHeight="true" outlineLevel="0" collapsed="false">
      <c r="B212" s="5"/>
    </row>
    <row r="213" customFormat="false" ht="15.75" hidden="false" customHeight="true" outlineLevel="0" collapsed="false">
      <c r="B213" s="5"/>
    </row>
    <row r="214" customFormat="false" ht="15.75" hidden="false" customHeight="true" outlineLevel="0" collapsed="false">
      <c r="B214" s="5"/>
    </row>
    <row r="215" customFormat="false" ht="15.75" hidden="false" customHeight="true" outlineLevel="0" collapsed="false">
      <c r="B215" s="5"/>
    </row>
    <row r="216" customFormat="false" ht="15.75" hidden="false" customHeight="true" outlineLevel="0" collapsed="false">
      <c r="B216" s="5"/>
    </row>
    <row r="217" customFormat="false" ht="15.75" hidden="false" customHeight="true" outlineLevel="0" collapsed="false">
      <c r="B217" s="5"/>
    </row>
    <row r="218" customFormat="false" ht="15.75" hidden="false" customHeight="true" outlineLevel="0" collapsed="false">
      <c r="B218" s="5"/>
    </row>
    <row r="219" customFormat="false" ht="15.75" hidden="false" customHeight="true" outlineLevel="0" collapsed="false">
      <c r="B219" s="5"/>
    </row>
    <row r="220" customFormat="false" ht="15.75" hidden="false" customHeight="true" outlineLevel="0" collapsed="false">
      <c r="B220" s="5"/>
    </row>
    <row r="221" customFormat="false" ht="15.75" hidden="false" customHeight="true" outlineLevel="0" collapsed="false">
      <c r="B221" s="5"/>
    </row>
    <row r="222" customFormat="false" ht="15.75" hidden="false" customHeight="true" outlineLevel="0" collapsed="false">
      <c r="B222" s="5"/>
    </row>
    <row r="223" customFormat="false" ht="15.75" hidden="false" customHeight="true" outlineLevel="0" collapsed="false">
      <c r="B223" s="5"/>
    </row>
    <row r="224" customFormat="false" ht="15.75" hidden="false" customHeight="true" outlineLevel="0" collapsed="false">
      <c r="B224" s="5"/>
    </row>
    <row r="225" customFormat="false" ht="15.75" hidden="false" customHeight="true" outlineLevel="0" collapsed="false">
      <c r="B225" s="5"/>
    </row>
    <row r="226" customFormat="false" ht="15.75" hidden="false" customHeight="true" outlineLevel="0" collapsed="false">
      <c r="B226" s="5"/>
    </row>
    <row r="227" customFormat="false" ht="15.75" hidden="false" customHeight="true" outlineLevel="0" collapsed="false">
      <c r="B227" s="5"/>
    </row>
    <row r="228" customFormat="false" ht="15.75" hidden="false" customHeight="true" outlineLevel="0" collapsed="false">
      <c r="B228" s="5"/>
    </row>
    <row r="229" customFormat="false" ht="15.75" hidden="false" customHeight="true" outlineLevel="0" collapsed="false">
      <c r="B229" s="5"/>
    </row>
    <row r="230" customFormat="false" ht="15.75" hidden="false" customHeight="true" outlineLevel="0" collapsed="false">
      <c r="B230" s="5"/>
    </row>
    <row r="231" customFormat="false" ht="15.75" hidden="false" customHeight="true" outlineLevel="0" collapsed="false">
      <c r="B231" s="5"/>
    </row>
    <row r="232" customFormat="false" ht="15.75" hidden="false" customHeight="true" outlineLevel="0" collapsed="false">
      <c r="B232" s="5"/>
    </row>
    <row r="233" customFormat="false" ht="15.75" hidden="false" customHeight="true" outlineLevel="0" collapsed="false">
      <c r="B233" s="5"/>
    </row>
    <row r="234" customFormat="false" ht="15.75" hidden="false" customHeight="true" outlineLevel="0" collapsed="false">
      <c r="B234" s="5"/>
    </row>
    <row r="235" customFormat="false" ht="15.75" hidden="false" customHeight="true" outlineLevel="0" collapsed="false">
      <c r="B235" s="5"/>
    </row>
    <row r="236" customFormat="false" ht="15.75" hidden="false" customHeight="true" outlineLevel="0" collapsed="false">
      <c r="B236" s="5"/>
    </row>
    <row r="237" customFormat="false" ht="15.75" hidden="false" customHeight="true" outlineLevel="0" collapsed="false">
      <c r="B237" s="5"/>
    </row>
    <row r="238" customFormat="false" ht="15.75" hidden="false" customHeight="true" outlineLevel="0" collapsed="false">
      <c r="B238" s="5"/>
    </row>
    <row r="239" customFormat="false" ht="15.75" hidden="false" customHeight="true" outlineLevel="0" collapsed="false">
      <c r="B239" s="5"/>
    </row>
    <row r="240" customFormat="false" ht="15.75" hidden="false" customHeight="true" outlineLevel="0" collapsed="false">
      <c r="B240" s="5"/>
    </row>
    <row r="241" customFormat="false" ht="15.75" hidden="false" customHeight="true" outlineLevel="0" collapsed="false">
      <c r="B241" s="5"/>
    </row>
    <row r="242" customFormat="false" ht="15.75" hidden="false" customHeight="true" outlineLevel="0" collapsed="false">
      <c r="B242" s="5"/>
    </row>
    <row r="243" customFormat="false" ht="15.75" hidden="false" customHeight="true" outlineLevel="0" collapsed="false">
      <c r="B243" s="5"/>
    </row>
    <row r="244" customFormat="false" ht="15.75" hidden="false" customHeight="true" outlineLevel="0" collapsed="false">
      <c r="B244" s="5"/>
    </row>
    <row r="245" customFormat="false" ht="15.75" hidden="false" customHeight="true" outlineLevel="0" collapsed="false">
      <c r="B245" s="5"/>
    </row>
    <row r="246" customFormat="false" ht="15.75" hidden="false" customHeight="true" outlineLevel="0" collapsed="false">
      <c r="B246" s="5"/>
    </row>
    <row r="247" customFormat="false" ht="15.75" hidden="false" customHeight="true" outlineLevel="0" collapsed="false">
      <c r="B247" s="5"/>
    </row>
    <row r="248" customFormat="false" ht="15.75" hidden="false" customHeight="true" outlineLevel="0" collapsed="false">
      <c r="B248" s="5"/>
    </row>
    <row r="249" customFormat="false" ht="15.75" hidden="false" customHeight="true" outlineLevel="0" collapsed="false">
      <c r="B249" s="5"/>
    </row>
    <row r="250" customFormat="false" ht="15.75" hidden="false" customHeight="true" outlineLevel="0" collapsed="false">
      <c r="B250" s="5"/>
    </row>
    <row r="251" customFormat="false" ht="15.75" hidden="false" customHeight="true" outlineLevel="0" collapsed="false">
      <c r="B251" s="5"/>
    </row>
    <row r="252" customFormat="false" ht="15.75" hidden="false" customHeight="true" outlineLevel="0" collapsed="false">
      <c r="B252" s="5"/>
    </row>
    <row r="253" customFormat="false" ht="15.75" hidden="false" customHeight="true" outlineLevel="0" collapsed="false">
      <c r="B253" s="5"/>
    </row>
    <row r="254" customFormat="false" ht="15.75" hidden="false" customHeight="true" outlineLevel="0" collapsed="false">
      <c r="B254" s="5"/>
    </row>
    <row r="255" customFormat="false" ht="15.75" hidden="false" customHeight="true" outlineLevel="0" collapsed="false">
      <c r="B255" s="5"/>
    </row>
    <row r="256" customFormat="false" ht="15.75" hidden="false" customHeight="true" outlineLevel="0" collapsed="false">
      <c r="B256" s="5"/>
    </row>
    <row r="257" customFormat="false" ht="15.75" hidden="false" customHeight="true" outlineLevel="0" collapsed="false">
      <c r="B257" s="5"/>
    </row>
    <row r="258" customFormat="false" ht="15.75" hidden="false" customHeight="true" outlineLevel="0" collapsed="false">
      <c r="B258" s="5"/>
    </row>
    <row r="259" customFormat="false" ht="15.75" hidden="false" customHeight="true" outlineLevel="0" collapsed="false">
      <c r="B259" s="5"/>
    </row>
    <row r="260" customFormat="false" ht="15.75" hidden="false" customHeight="true" outlineLevel="0" collapsed="false">
      <c r="B260" s="5"/>
    </row>
    <row r="261" customFormat="false" ht="15.75" hidden="false" customHeight="true" outlineLevel="0" collapsed="false">
      <c r="B261" s="5"/>
    </row>
    <row r="262" customFormat="false" ht="15.75" hidden="false" customHeight="true" outlineLevel="0" collapsed="false">
      <c r="B262" s="5"/>
    </row>
    <row r="263" customFormat="false" ht="15.75" hidden="false" customHeight="true" outlineLevel="0" collapsed="false">
      <c r="B263" s="5"/>
    </row>
    <row r="264" customFormat="false" ht="15.75" hidden="false" customHeight="true" outlineLevel="0" collapsed="false">
      <c r="B264" s="5"/>
    </row>
    <row r="265" customFormat="false" ht="15.75" hidden="false" customHeight="true" outlineLevel="0" collapsed="false">
      <c r="B265" s="5"/>
    </row>
    <row r="266" customFormat="false" ht="15.75" hidden="false" customHeight="true" outlineLevel="0" collapsed="false">
      <c r="B266" s="5"/>
    </row>
    <row r="267" customFormat="false" ht="15.75" hidden="false" customHeight="true" outlineLevel="0" collapsed="false">
      <c r="B267" s="5"/>
    </row>
    <row r="268" customFormat="false" ht="15.75" hidden="false" customHeight="true" outlineLevel="0" collapsed="false">
      <c r="B268" s="5"/>
    </row>
    <row r="269" customFormat="false" ht="15.75" hidden="false" customHeight="true" outlineLevel="0" collapsed="false">
      <c r="B269" s="5"/>
    </row>
    <row r="270" customFormat="false" ht="15.75" hidden="false" customHeight="true" outlineLevel="0" collapsed="false">
      <c r="B270" s="5"/>
    </row>
    <row r="271" customFormat="false" ht="15.75" hidden="false" customHeight="true" outlineLevel="0" collapsed="false">
      <c r="B271" s="5"/>
    </row>
    <row r="272" customFormat="false" ht="15.75" hidden="false" customHeight="true" outlineLevel="0" collapsed="false">
      <c r="B272" s="5"/>
    </row>
    <row r="273" customFormat="false" ht="15.75" hidden="false" customHeight="true" outlineLevel="0" collapsed="false">
      <c r="B273" s="5"/>
    </row>
    <row r="274" customFormat="false" ht="15.75" hidden="false" customHeight="true" outlineLevel="0" collapsed="false">
      <c r="B274" s="5"/>
    </row>
    <row r="275" customFormat="false" ht="15.75" hidden="false" customHeight="true" outlineLevel="0" collapsed="false">
      <c r="B275" s="5"/>
    </row>
    <row r="276" customFormat="false" ht="15.75" hidden="false" customHeight="true" outlineLevel="0" collapsed="false">
      <c r="B276" s="5"/>
    </row>
    <row r="277" customFormat="false" ht="15.75" hidden="false" customHeight="true" outlineLevel="0" collapsed="false">
      <c r="B277" s="5"/>
    </row>
    <row r="278" customFormat="false" ht="15.75" hidden="false" customHeight="true" outlineLevel="0" collapsed="false">
      <c r="B278" s="5"/>
    </row>
    <row r="279" customFormat="false" ht="15.75" hidden="false" customHeight="true" outlineLevel="0" collapsed="false">
      <c r="B279" s="5"/>
    </row>
    <row r="280" customFormat="false" ht="15.75" hidden="false" customHeight="true" outlineLevel="0" collapsed="false">
      <c r="B280" s="5"/>
    </row>
    <row r="281" customFormat="false" ht="15.75" hidden="false" customHeight="true" outlineLevel="0" collapsed="false">
      <c r="B281" s="5"/>
    </row>
    <row r="282" customFormat="false" ht="15.75" hidden="false" customHeight="true" outlineLevel="0" collapsed="false">
      <c r="B282" s="5"/>
    </row>
    <row r="283" customFormat="false" ht="15.75" hidden="false" customHeight="true" outlineLevel="0" collapsed="false">
      <c r="B283" s="5"/>
    </row>
    <row r="284" customFormat="false" ht="15.75" hidden="false" customHeight="true" outlineLevel="0" collapsed="false">
      <c r="B284" s="5"/>
    </row>
    <row r="285" customFormat="false" ht="15.75" hidden="false" customHeight="true" outlineLevel="0" collapsed="false">
      <c r="B285" s="5"/>
    </row>
    <row r="286" customFormat="false" ht="15.75" hidden="false" customHeight="true" outlineLevel="0" collapsed="false">
      <c r="B286" s="5"/>
    </row>
    <row r="287" customFormat="false" ht="15.75" hidden="false" customHeight="true" outlineLevel="0" collapsed="false">
      <c r="B287" s="5"/>
    </row>
    <row r="288" customFormat="false" ht="15.75" hidden="false" customHeight="true" outlineLevel="0" collapsed="false">
      <c r="B288" s="5"/>
    </row>
    <row r="289" customFormat="false" ht="15.75" hidden="false" customHeight="true" outlineLevel="0" collapsed="false">
      <c r="B289" s="5"/>
    </row>
    <row r="290" customFormat="false" ht="15.75" hidden="false" customHeight="true" outlineLevel="0" collapsed="false">
      <c r="B290" s="5"/>
    </row>
    <row r="291" customFormat="false" ht="15.75" hidden="false" customHeight="true" outlineLevel="0" collapsed="false">
      <c r="B291" s="5"/>
    </row>
    <row r="292" customFormat="false" ht="15.75" hidden="false" customHeight="true" outlineLevel="0" collapsed="false">
      <c r="B292" s="5"/>
    </row>
    <row r="293" customFormat="false" ht="15.75" hidden="false" customHeight="true" outlineLevel="0" collapsed="false">
      <c r="B293" s="5"/>
    </row>
    <row r="294" customFormat="false" ht="15.75" hidden="false" customHeight="true" outlineLevel="0" collapsed="false">
      <c r="B294" s="5"/>
    </row>
    <row r="295" customFormat="false" ht="15.75" hidden="false" customHeight="true" outlineLevel="0" collapsed="false">
      <c r="B295" s="5"/>
    </row>
    <row r="296" customFormat="false" ht="15.75" hidden="false" customHeight="true" outlineLevel="0" collapsed="false">
      <c r="B296" s="5"/>
    </row>
    <row r="297" customFormat="false" ht="15.75" hidden="false" customHeight="true" outlineLevel="0" collapsed="false">
      <c r="B297" s="5"/>
    </row>
    <row r="298" customFormat="false" ht="15.75" hidden="false" customHeight="true" outlineLevel="0" collapsed="false">
      <c r="B298" s="5"/>
    </row>
    <row r="299" customFormat="false" ht="15.75" hidden="false" customHeight="true" outlineLevel="0" collapsed="false">
      <c r="B299" s="5"/>
    </row>
    <row r="300" customFormat="false" ht="15.75" hidden="false" customHeight="true" outlineLevel="0" collapsed="false">
      <c r="B300" s="5"/>
    </row>
    <row r="301" customFormat="false" ht="15.75" hidden="false" customHeight="true" outlineLevel="0" collapsed="false">
      <c r="B301" s="5"/>
    </row>
    <row r="302" customFormat="false" ht="15.75" hidden="false" customHeight="true" outlineLevel="0" collapsed="false">
      <c r="B302" s="5"/>
    </row>
    <row r="303" customFormat="false" ht="15.75" hidden="false" customHeight="true" outlineLevel="0" collapsed="false">
      <c r="B303" s="5"/>
    </row>
    <row r="304" customFormat="false" ht="15.75" hidden="false" customHeight="true" outlineLevel="0" collapsed="false">
      <c r="B304" s="5"/>
    </row>
    <row r="305" customFormat="false" ht="15.75" hidden="false" customHeight="true" outlineLevel="0" collapsed="false">
      <c r="B305" s="5"/>
    </row>
    <row r="306" customFormat="false" ht="15.75" hidden="false" customHeight="true" outlineLevel="0" collapsed="false">
      <c r="B306" s="5"/>
    </row>
    <row r="307" customFormat="false" ht="15.75" hidden="false" customHeight="true" outlineLevel="0" collapsed="false">
      <c r="B307" s="5"/>
    </row>
    <row r="308" customFormat="false" ht="15.75" hidden="false" customHeight="true" outlineLevel="0" collapsed="false">
      <c r="B308" s="5"/>
    </row>
    <row r="309" customFormat="false" ht="15.75" hidden="false" customHeight="true" outlineLevel="0" collapsed="false">
      <c r="B309" s="5"/>
    </row>
    <row r="310" customFormat="false" ht="15.75" hidden="false" customHeight="true" outlineLevel="0" collapsed="false">
      <c r="B310" s="5"/>
    </row>
    <row r="311" customFormat="false" ht="15.75" hidden="false" customHeight="true" outlineLevel="0" collapsed="false">
      <c r="B311" s="5"/>
    </row>
    <row r="312" customFormat="false" ht="15.75" hidden="false" customHeight="true" outlineLevel="0" collapsed="false">
      <c r="B312" s="5"/>
    </row>
    <row r="313" customFormat="false" ht="15.75" hidden="false" customHeight="true" outlineLevel="0" collapsed="false">
      <c r="B313" s="5"/>
    </row>
    <row r="314" customFormat="false" ht="15.75" hidden="false" customHeight="true" outlineLevel="0" collapsed="false">
      <c r="B314" s="5"/>
    </row>
    <row r="315" customFormat="false" ht="15.75" hidden="false" customHeight="true" outlineLevel="0" collapsed="false">
      <c r="B315" s="5"/>
    </row>
    <row r="316" customFormat="false" ht="15.75" hidden="false" customHeight="true" outlineLevel="0" collapsed="false">
      <c r="B316" s="5"/>
    </row>
    <row r="317" customFormat="false" ht="15.75" hidden="false" customHeight="true" outlineLevel="0" collapsed="false">
      <c r="B317" s="5"/>
    </row>
    <row r="318" customFormat="false" ht="15.75" hidden="false" customHeight="true" outlineLevel="0" collapsed="false">
      <c r="B318" s="5"/>
    </row>
    <row r="319" customFormat="false" ht="15.75" hidden="false" customHeight="true" outlineLevel="0" collapsed="false">
      <c r="B319" s="5"/>
    </row>
    <row r="320" customFormat="false" ht="15.75" hidden="false" customHeight="true" outlineLevel="0" collapsed="false">
      <c r="B320" s="5"/>
    </row>
    <row r="321" customFormat="false" ht="15.75" hidden="false" customHeight="true" outlineLevel="0" collapsed="false">
      <c r="B321" s="5"/>
    </row>
    <row r="322" customFormat="false" ht="15.75" hidden="false" customHeight="true" outlineLevel="0" collapsed="false">
      <c r="B322" s="5"/>
    </row>
    <row r="323" customFormat="false" ht="15.75" hidden="false" customHeight="true" outlineLevel="0" collapsed="false">
      <c r="B323" s="5"/>
    </row>
    <row r="324" customFormat="false" ht="15.75" hidden="false" customHeight="true" outlineLevel="0" collapsed="false">
      <c r="B324" s="5"/>
    </row>
    <row r="325" customFormat="false" ht="15.75" hidden="false" customHeight="true" outlineLevel="0" collapsed="false">
      <c r="B325" s="5"/>
    </row>
    <row r="326" customFormat="false" ht="15.75" hidden="false" customHeight="true" outlineLevel="0" collapsed="false">
      <c r="B326" s="5"/>
    </row>
    <row r="327" customFormat="false" ht="15.75" hidden="false" customHeight="true" outlineLevel="0" collapsed="false">
      <c r="B327" s="5"/>
    </row>
    <row r="328" customFormat="false" ht="15.75" hidden="false" customHeight="true" outlineLevel="0" collapsed="false">
      <c r="B328" s="5"/>
    </row>
    <row r="329" customFormat="false" ht="15.75" hidden="false" customHeight="true" outlineLevel="0" collapsed="false">
      <c r="B329" s="5"/>
    </row>
    <row r="330" customFormat="false" ht="15.75" hidden="false" customHeight="true" outlineLevel="0" collapsed="false">
      <c r="B330" s="5"/>
    </row>
    <row r="331" customFormat="false" ht="15.75" hidden="false" customHeight="true" outlineLevel="0" collapsed="false">
      <c r="B331" s="5"/>
    </row>
    <row r="332" customFormat="false" ht="15.75" hidden="false" customHeight="true" outlineLevel="0" collapsed="false">
      <c r="B332" s="5"/>
    </row>
    <row r="333" customFormat="false" ht="15.75" hidden="false" customHeight="true" outlineLevel="0" collapsed="false">
      <c r="B333" s="5"/>
    </row>
    <row r="334" customFormat="false" ht="15.75" hidden="false" customHeight="true" outlineLevel="0" collapsed="false">
      <c r="B334" s="5"/>
    </row>
    <row r="335" customFormat="false" ht="15.75" hidden="false" customHeight="true" outlineLevel="0" collapsed="false">
      <c r="B335" s="5"/>
    </row>
    <row r="336" customFormat="false" ht="15.75" hidden="false" customHeight="true" outlineLevel="0" collapsed="false">
      <c r="B336" s="5"/>
    </row>
    <row r="337" customFormat="false" ht="15.75" hidden="false" customHeight="true" outlineLevel="0" collapsed="false">
      <c r="B337" s="5"/>
    </row>
    <row r="338" customFormat="false" ht="15.75" hidden="false" customHeight="true" outlineLevel="0" collapsed="false">
      <c r="B338" s="5"/>
    </row>
    <row r="339" customFormat="false" ht="15.75" hidden="false" customHeight="true" outlineLevel="0" collapsed="false">
      <c r="B339" s="5"/>
    </row>
    <row r="340" customFormat="false" ht="15.75" hidden="false" customHeight="true" outlineLevel="0" collapsed="false">
      <c r="B340" s="5"/>
    </row>
    <row r="341" customFormat="false" ht="15.75" hidden="false" customHeight="true" outlineLevel="0" collapsed="false">
      <c r="B341" s="5"/>
    </row>
    <row r="342" customFormat="false" ht="15.75" hidden="false" customHeight="true" outlineLevel="0" collapsed="false">
      <c r="B342" s="5"/>
    </row>
    <row r="343" customFormat="false" ht="15.75" hidden="false" customHeight="true" outlineLevel="0" collapsed="false">
      <c r="B343" s="5"/>
    </row>
    <row r="344" customFormat="false" ht="15.75" hidden="false" customHeight="true" outlineLevel="0" collapsed="false">
      <c r="B344" s="5"/>
    </row>
    <row r="345" customFormat="false" ht="15.75" hidden="false" customHeight="true" outlineLevel="0" collapsed="false">
      <c r="B345" s="5"/>
    </row>
    <row r="346" customFormat="false" ht="15.75" hidden="false" customHeight="true" outlineLevel="0" collapsed="false">
      <c r="B346" s="5"/>
    </row>
    <row r="347" customFormat="false" ht="15.75" hidden="false" customHeight="true" outlineLevel="0" collapsed="false">
      <c r="B347" s="5"/>
    </row>
    <row r="348" customFormat="false" ht="15.75" hidden="false" customHeight="true" outlineLevel="0" collapsed="false">
      <c r="B348" s="5"/>
    </row>
    <row r="349" customFormat="false" ht="15.75" hidden="false" customHeight="true" outlineLevel="0" collapsed="false">
      <c r="B349" s="5"/>
    </row>
    <row r="350" customFormat="false" ht="15.75" hidden="false" customHeight="true" outlineLevel="0" collapsed="false">
      <c r="B350" s="5"/>
    </row>
    <row r="351" customFormat="false" ht="15.75" hidden="false" customHeight="true" outlineLevel="0" collapsed="false">
      <c r="B351" s="5"/>
    </row>
    <row r="352" customFormat="false" ht="15.75" hidden="false" customHeight="true" outlineLevel="0" collapsed="false">
      <c r="B352" s="5"/>
    </row>
    <row r="353" customFormat="false" ht="15.75" hidden="false" customHeight="true" outlineLevel="0" collapsed="false">
      <c r="B353" s="5"/>
    </row>
    <row r="354" customFormat="false" ht="15.75" hidden="false" customHeight="true" outlineLevel="0" collapsed="false">
      <c r="B354" s="5"/>
    </row>
    <row r="355" customFormat="false" ht="15.75" hidden="false" customHeight="true" outlineLevel="0" collapsed="false">
      <c r="B355" s="5"/>
    </row>
    <row r="356" customFormat="false" ht="15.75" hidden="false" customHeight="true" outlineLevel="0" collapsed="false">
      <c r="B356" s="5"/>
    </row>
    <row r="357" customFormat="false" ht="15.75" hidden="false" customHeight="true" outlineLevel="0" collapsed="false">
      <c r="B357" s="5"/>
    </row>
    <row r="358" customFormat="false" ht="15.75" hidden="false" customHeight="true" outlineLevel="0" collapsed="false">
      <c r="B358" s="5"/>
    </row>
    <row r="359" customFormat="false" ht="15.75" hidden="false" customHeight="true" outlineLevel="0" collapsed="false">
      <c r="B359" s="5"/>
    </row>
    <row r="360" customFormat="false" ht="15.75" hidden="false" customHeight="true" outlineLevel="0" collapsed="false">
      <c r="B360" s="5"/>
    </row>
    <row r="361" customFormat="false" ht="15.75" hidden="false" customHeight="true" outlineLevel="0" collapsed="false">
      <c r="B361" s="5"/>
    </row>
    <row r="362" customFormat="false" ht="15.75" hidden="false" customHeight="true" outlineLevel="0" collapsed="false">
      <c r="B362" s="5"/>
    </row>
    <row r="363" customFormat="false" ht="15.75" hidden="false" customHeight="true" outlineLevel="0" collapsed="false">
      <c r="B363" s="5"/>
    </row>
    <row r="364" customFormat="false" ht="15.75" hidden="false" customHeight="true" outlineLevel="0" collapsed="false">
      <c r="B364" s="5"/>
    </row>
    <row r="365" customFormat="false" ht="15.75" hidden="false" customHeight="true" outlineLevel="0" collapsed="false">
      <c r="B365" s="5"/>
    </row>
    <row r="366" customFormat="false" ht="15.75" hidden="false" customHeight="true" outlineLevel="0" collapsed="false">
      <c r="B366" s="5"/>
    </row>
    <row r="367" customFormat="false" ht="15.75" hidden="false" customHeight="true" outlineLevel="0" collapsed="false">
      <c r="B367" s="5"/>
    </row>
    <row r="368" customFormat="false" ht="15.75" hidden="false" customHeight="true" outlineLevel="0" collapsed="false">
      <c r="B368" s="5"/>
    </row>
    <row r="369" customFormat="false" ht="15.75" hidden="false" customHeight="true" outlineLevel="0" collapsed="false">
      <c r="B369" s="5"/>
    </row>
    <row r="370" customFormat="false" ht="15.75" hidden="false" customHeight="true" outlineLevel="0" collapsed="false">
      <c r="B370" s="5"/>
    </row>
    <row r="371" customFormat="false" ht="15.75" hidden="false" customHeight="true" outlineLevel="0" collapsed="false">
      <c r="B371" s="5"/>
    </row>
    <row r="372" customFormat="false" ht="15.75" hidden="false" customHeight="true" outlineLevel="0" collapsed="false">
      <c r="B372" s="5"/>
    </row>
    <row r="373" customFormat="false" ht="15.75" hidden="false" customHeight="true" outlineLevel="0" collapsed="false">
      <c r="B373" s="5"/>
    </row>
    <row r="374" customFormat="false" ht="15.75" hidden="false" customHeight="true" outlineLevel="0" collapsed="false">
      <c r="B374" s="5"/>
    </row>
    <row r="375" customFormat="false" ht="15.75" hidden="false" customHeight="true" outlineLevel="0" collapsed="false">
      <c r="B375" s="5"/>
    </row>
    <row r="376" customFormat="false" ht="15.75" hidden="false" customHeight="true" outlineLevel="0" collapsed="false">
      <c r="B376" s="5"/>
    </row>
    <row r="377" customFormat="false" ht="15.75" hidden="false" customHeight="true" outlineLevel="0" collapsed="false">
      <c r="B377" s="5"/>
    </row>
    <row r="378" customFormat="false" ht="15.75" hidden="false" customHeight="true" outlineLevel="0" collapsed="false">
      <c r="B378" s="5"/>
    </row>
    <row r="379" customFormat="false" ht="15.75" hidden="false" customHeight="true" outlineLevel="0" collapsed="false">
      <c r="B379" s="5"/>
    </row>
    <row r="380" customFormat="false" ht="15.75" hidden="false" customHeight="true" outlineLevel="0" collapsed="false">
      <c r="B380" s="5"/>
    </row>
    <row r="381" customFormat="false" ht="15.75" hidden="false" customHeight="true" outlineLevel="0" collapsed="false">
      <c r="B381" s="5"/>
    </row>
    <row r="382" customFormat="false" ht="15.75" hidden="false" customHeight="true" outlineLevel="0" collapsed="false">
      <c r="B382" s="5"/>
    </row>
    <row r="383" customFormat="false" ht="15.75" hidden="false" customHeight="true" outlineLevel="0" collapsed="false">
      <c r="B383" s="5"/>
    </row>
    <row r="384" customFormat="false" ht="15.75" hidden="false" customHeight="true" outlineLevel="0" collapsed="false">
      <c r="B384" s="5"/>
    </row>
    <row r="385" customFormat="false" ht="15.75" hidden="false" customHeight="true" outlineLevel="0" collapsed="false">
      <c r="B385" s="5"/>
    </row>
    <row r="386" customFormat="false" ht="15.75" hidden="false" customHeight="true" outlineLevel="0" collapsed="false">
      <c r="B386" s="5"/>
    </row>
    <row r="387" customFormat="false" ht="15.75" hidden="false" customHeight="true" outlineLevel="0" collapsed="false">
      <c r="B387" s="5"/>
    </row>
    <row r="388" customFormat="false" ht="15.75" hidden="false" customHeight="true" outlineLevel="0" collapsed="false">
      <c r="B388" s="5"/>
    </row>
    <row r="389" customFormat="false" ht="15.75" hidden="false" customHeight="true" outlineLevel="0" collapsed="false">
      <c r="B389" s="5"/>
    </row>
    <row r="390" customFormat="false" ht="15.75" hidden="false" customHeight="true" outlineLevel="0" collapsed="false">
      <c r="B390" s="5"/>
    </row>
    <row r="391" customFormat="false" ht="15.75" hidden="false" customHeight="true" outlineLevel="0" collapsed="false">
      <c r="B391" s="5"/>
    </row>
    <row r="392" customFormat="false" ht="15.75" hidden="false" customHeight="true" outlineLevel="0" collapsed="false">
      <c r="B392" s="5"/>
    </row>
    <row r="393" customFormat="false" ht="15.75" hidden="false" customHeight="true" outlineLevel="0" collapsed="false">
      <c r="B393" s="5"/>
    </row>
    <row r="394" customFormat="false" ht="15.75" hidden="false" customHeight="true" outlineLevel="0" collapsed="false">
      <c r="B394" s="5"/>
    </row>
    <row r="395" customFormat="false" ht="15.75" hidden="false" customHeight="true" outlineLevel="0" collapsed="false">
      <c r="B395" s="5"/>
    </row>
    <row r="396" customFormat="false" ht="15.75" hidden="false" customHeight="true" outlineLevel="0" collapsed="false">
      <c r="B396" s="5"/>
    </row>
    <row r="397" customFormat="false" ht="15.75" hidden="false" customHeight="true" outlineLevel="0" collapsed="false">
      <c r="B397" s="5"/>
    </row>
    <row r="398" customFormat="false" ht="15.75" hidden="false" customHeight="true" outlineLevel="0" collapsed="false">
      <c r="B398" s="5"/>
    </row>
    <row r="399" customFormat="false" ht="15.75" hidden="false" customHeight="true" outlineLevel="0" collapsed="false">
      <c r="B399" s="5"/>
    </row>
    <row r="400" customFormat="false" ht="15.75" hidden="false" customHeight="true" outlineLevel="0" collapsed="false">
      <c r="B400" s="5"/>
    </row>
    <row r="401" customFormat="false" ht="15.75" hidden="false" customHeight="true" outlineLevel="0" collapsed="false">
      <c r="B401" s="5"/>
    </row>
    <row r="402" customFormat="false" ht="15.75" hidden="false" customHeight="true" outlineLevel="0" collapsed="false">
      <c r="B402" s="5"/>
    </row>
    <row r="403" customFormat="false" ht="15.75" hidden="false" customHeight="true" outlineLevel="0" collapsed="false">
      <c r="B403" s="5"/>
    </row>
    <row r="404" customFormat="false" ht="15.75" hidden="false" customHeight="true" outlineLevel="0" collapsed="false">
      <c r="B404" s="5"/>
    </row>
    <row r="405" customFormat="false" ht="15.75" hidden="false" customHeight="true" outlineLevel="0" collapsed="false">
      <c r="B405" s="5"/>
    </row>
    <row r="406" customFormat="false" ht="15.75" hidden="false" customHeight="true" outlineLevel="0" collapsed="false">
      <c r="B406" s="5"/>
    </row>
    <row r="407" customFormat="false" ht="15.75" hidden="false" customHeight="true" outlineLevel="0" collapsed="false">
      <c r="B407" s="5"/>
    </row>
    <row r="408" customFormat="false" ht="15.75" hidden="false" customHeight="true" outlineLevel="0" collapsed="false">
      <c r="B408" s="5"/>
    </row>
    <row r="409" customFormat="false" ht="15.75" hidden="false" customHeight="true" outlineLevel="0" collapsed="false">
      <c r="B409" s="5"/>
    </row>
    <row r="410" customFormat="false" ht="15.75" hidden="false" customHeight="true" outlineLevel="0" collapsed="false">
      <c r="B410" s="5"/>
    </row>
    <row r="411" customFormat="false" ht="15.75" hidden="false" customHeight="true" outlineLevel="0" collapsed="false">
      <c r="B411" s="5"/>
    </row>
    <row r="412" customFormat="false" ht="15.75" hidden="false" customHeight="true" outlineLevel="0" collapsed="false">
      <c r="B412" s="5"/>
    </row>
    <row r="413" customFormat="false" ht="15.75" hidden="false" customHeight="true" outlineLevel="0" collapsed="false">
      <c r="B413" s="5"/>
    </row>
    <row r="414" customFormat="false" ht="15.75" hidden="false" customHeight="true" outlineLevel="0" collapsed="false">
      <c r="B414" s="5"/>
    </row>
    <row r="415" customFormat="false" ht="15.75" hidden="false" customHeight="true" outlineLevel="0" collapsed="false">
      <c r="B415" s="5"/>
    </row>
    <row r="416" customFormat="false" ht="15.75" hidden="false" customHeight="true" outlineLevel="0" collapsed="false">
      <c r="B416" s="5"/>
    </row>
    <row r="417" customFormat="false" ht="15.75" hidden="false" customHeight="true" outlineLevel="0" collapsed="false">
      <c r="B417" s="5"/>
    </row>
    <row r="418" customFormat="false" ht="15.75" hidden="false" customHeight="true" outlineLevel="0" collapsed="false">
      <c r="B418" s="5"/>
    </row>
    <row r="419" customFormat="false" ht="15.75" hidden="false" customHeight="true" outlineLevel="0" collapsed="false">
      <c r="B419" s="5"/>
    </row>
    <row r="420" customFormat="false" ht="15.75" hidden="false" customHeight="true" outlineLevel="0" collapsed="false">
      <c r="B420" s="5"/>
    </row>
    <row r="421" customFormat="false" ht="15.75" hidden="false" customHeight="true" outlineLevel="0" collapsed="false">
      <c r="B421" s="5"/>
    </row>
    <row r="422" customFormat="false" ht="15.75" hidden="false" customHeight="true" outlineLevel="0" collapsed="false">
      <c r="B422" s="5"/>
    </row>
    <row r="423" customFormat="false" ht="15.75" hidden="false" customHeight="true" outlineLevel="0" collapsed="false">
      <c r="B423" s="5"/>
    </row>
    <row r="424" customFormat="false" ht="15.75" hidden="false" customHeight="true" outlineLevel="0" collapsed="false">
      <c r="B424" s="5"/>
    </row>
    <row r="425" customFormat="false" ht="15.75" hidden="false" customHeight="true" outlineLevel="0" collapsed="false">
      <c r="B425" s="5"/>
    </row>
    <row r="426" customFormat="false" ht="15.75" hidden="false" customHeight="true" outlineLevel="0" collapsed="false">
      <c r="B426" s="5"/>
    </row>
    <row r="427" customFormat="false" ht="15.75" hidden="false" customHeight="true" outlineLevel="0" collapsed="false">
      <c r="B427" s="5"/>
    </row>
    <row r="428" customFormat="false" ht="15.75" hidden="false" customHeight="true" outlineLevel="0" collapsed="false">
      <c r="B428" s="5"/>
    </row>
    <row r="429" customFormat="false" ht="15.75" hidden="false" customHeight="true" outlineLevel="0" collapsed="false">
      <c r="B429" s="5"/>
    </row>
    <row r="430" customFormat="false" ht="15.75" hidden="false" customHeight="true" outlineLevel="0" collapsed="false">
      <c r="B430" s="5"/>
    </row>
    <row r="431" customFormat="false" ht="15.75" hidden="false" customHeight="true" outlineLevel="0" collapsed="false">
      <c r="B431" s="5"/>
    </row>
    <row r="432" customFormat="false" ht="15.75" hidden="false" customHeight="true" outlineLevel="0" collapsed="false">
      <c r="B432" s="5"/>
    </row>
    <row r="433" customFormat="false" ht="15.75" hidden="false" customHeight="true" outlineLevel="0" collapsed="false">
      <c r="B433" s="5"/>
    </row>
    <row r="434" customFormat="false" ht="15.75" hidden="false" customHeight="true" outlineLevel="0" collapsed="false">
      <c r="B434" s="5"/>
    </row>
    <row r="435" customFormat="false" ht="15.75" hidden="false" customHeight="true" outlineLevel="0" collapsed="false">
      <c r="B435" s="5"/>
    </row>
    <row r="436" customFormat="false" ht="15.75" hidden="false" customHeight="true" outlineLevel="0" collapsed="false">
      <c r="B436" s="5"/>
    </row>
    <row r="437" customFormat="false" ht="15.75" hidden="false" customHeight="true" outlineLevel="0" collapsed="false">
      <c r="B437" s="5"/>
    </row>
    <row r="438" customFormat="false" ht="15.75" hidden="false" customHeight="true" outlineLevel="0" collapsed="false">
      <c r="B438" s="5"/>
    </row>
    <row r="439" customFormat="false" ht="15.75" hidden="false" customHeight="true" outlineLevel="0" collapsed="false">
      <c r="B439" s="5"/>
    </row>
    <row r="440" customFormat="false" ht="15.75" hidden="false" customHeight="true" outlineLevel="0" collapsed="false">
      <c r="B440" s="5"/>
    </row>
    <row r="441" customFormat="false" ht="15.75" hidden="false" customHeight="true" outlineLevel="0" collapsed="false">
      <c r="B441" s="5"/>
    </row>
    <row r="442" customFormat="false" ht="15.75" hidden="false" customHeight="true" outlineLevel="0" collapsed="false">
      <c r="B442" s="5"/>
    </row>
    <row r="443" customFormat="false" ht="15.75" hidden="false" customHeight="true" outlineLevel="0" collapsed="false">
      <c r="B443" s="5"/>
    </row>
    <row r="444" customFormat="false" ht="15.75" hidden="false" customHeight="true" outlineLevel="0" collapsed="false">
      <c r="B444" s="5"/>
    </row>
    <row r="445" customFormat="false" ht="15.75" hidden="false" customHeight="true" outlineLevel="0" collapsed="false">
      <c r="B445" s="5"/>
    </row>
    <row r="446" customFormat="false" ht="15.75" hidden="false" customHeight="true" outlineLevel="0" collapsed="false">
      <c r="B446" s="5"/>
    </row>
    <row r="447" customFormat="false" ht="15.75" hidden="false" customHeight="true" outlineLevel="0" collapsed="false">
      <c r="B447" s="5"/>
    </row>
    <row r="448" customFormat="false" ht="15.75" hidden="false" customHeight="true" outlineLevel="0" collapsed="false">
      <c r="B448" s="5"/>
    </row>
    <row r="449" customFormat="false" ht="15.75" hidden="false" customHeight="true" outlineLevel="0" collapsed="false">
      <c r="B449" s="5"/>
    </row>
    <row r="450" customFormat="false" ht="15.75" hidden="false" customHeight="true" outlineLevel="0" collapsed="false">
      <c r="B450" s="5"/>
    </row>
    <row r="451" customFormat="false" ht="15.75" hidden="false" customHeight="true" outlineLevel="0" collapsed="false">
      <c r="B451" s="5"/>
    </row>
    <row r="452" customFormat="false" ht="15.75" hidden="false" customHeight="true" outlineLevel="0" collapsed="false">
      <c r="B452" s="5"/>
    </row>
    <row r="453" customFormat="false" ht="15.75" hidden="false" customHeight="true" outlineLevel="0" collapsed="false">
      <c r="B453" s="5"/>
    </row>
    <row r="454" customFormat="false" ht="15.75" hidden="false" customHeight="true" outlineLevel="0" collapsed="false">
      <c r="B454" s="5"/>
    </row>
    <row r="455" customFormat="false" ht="15.75" hidden="false" customHeight="true" outlineLevel="0" collapsed="false">
      <c r="B455" s="5"/>
    </row>
    <row r="456" customFormat="false" ht="15.75" hidden="false" customHeight="true" outlineLevel="0" collapsed="false">
      <c r="B456" s="5"/>
    </row>
    <row r="457" customFormat="false" ht="15.75" hidden="false" customHeight="true" outlineLevel="0" collapsed="false">
      <c r="B457" s="5"/>
    </row>
    <row r="458" customFormat="false" ht="15.75" hidden="false" customHeight="true" outlineLevel="0" collapsed="false">
      <c r="B458" s="5"/>
    </row>
    <row r="459" customFormat="false" ht="15.75" hidden="false" customHeight="true" outlineLevel="0" collapsed="false">
      <c r="B459" s="5"/>
    </row>
    <row r="460" customFormat="false" ht="15.75" hidden="false" customHeight="true" outlineLevel="0" collapsed="false">
      <c r="B460" s="5"/>
    </row>
    <row r="461" customFormat="false" ht="15.75" hidden="false" customHeight="true" outlineLevel="0" collapsed="false">
      <c r="B461" s="5"/>
    </row>
    <row r="462" customFormat="false" ht="15.75" hidden="false" customHeight="true" outlineLevel="0" collapsed="false">
      <c r="B462" s="5"/>
    </row>
    <row r="463" customFormat="false" ht="15.75" hidden="false" customHeight="true" outlineLevel="0" collapsed="false">
      <c r="B463" s="5"/>
    </row>
    <row r="464" customFormat="false" ht="15.75" hidden="false" customHeight="true" outlineLevel="0" collapsed="false">
      <c r="B464" s="5"/>
    </row>
    <row r="465" customFormat="false" ht="15.75" hidden="false" customHeight="true" outlineLevel="0" collapsed="false">
      <c r="B465" s="5"/>
    </row>
    <row r="466" customFormat="false" ht="15.75" hidden="false" customHeight="true" outlineLevel="0" collapsed="false">
      <c r="B466" s="5"/>
    </row>
    <row r="467" customFormat="false" ht="15.75" hidden="false" customHeight="true" outlineLevel="0" collapsed="false">
      <c r="B467" s="5"/>
    </row>
    <row r="468" customFormat="false" ht="15.75" hidden="false" customHeight="true" outlineLevel="0" collapsed="false">
      <c r="B468" s="5"/>
    </row>
    <row r="469" customFormat="false" ht="15.75" hidden="false" customHeight="true" outlineLevel="0" collapsed="false">
      <c r="B469" s="5"/>
    </row>
    <row r="470" customFormat="false" ht="15.75" hidden="false" customHeight="true" outlineLevel="0" collapsed="false">
      <c r="B470" s="5"/>
    </row>
    <row r="471" customFormat="false" ht="15.75" hidden="false" customHeight="true" outlineLevel="0" collapsed="false">
      <c r="B471" s="5"/>
    </row>
    <row r="472" customFormat="false" ht="15.75" hidden="false" customHeight="true" outlineLevel="0" collapsed="false">
      <c r="B472" s="5"/>
    </row>
    <row r="473" customFormat="false" ht="15.75" hidden="false" customHeight="true" outlineLevel="0" collapsed="false">
      <c r="B473" s="5"/>
    </row>
    <row r="474" customFormat="false" ht="15.75" hidden="false" customHeight="true" outlineLevel="0" collapsed="false">
      <c r="B474" s="5"/>
    </row>
    <row r="475" customFormat="false" ht="15.75" hidden="false" customHeight="true" outlineLevel="0" collapsed="false">
      <c r="B475" s="5"/>
    </row>
    <row r="476" customFormat="false" ht="15.75" hidden="false" customHeight="true" outlineLevel="0" collapsed="false">
      <c r="B476" s="5"/>
    </row>
    <row r="477" customFormat="false" ht="15.75" hidden="false" customHeight="true" outlineLevel="0" collapsed="false">
      <c r="B477" s="5"/>
    </row>
    <row r="478" customFormat="false" ht="15.75" hidden="false" customHeight="true" outlineLevel="0" collapsed="false">
      <c r="B478" s="5"/>
    </row>
    <row r="479" customFormat="false" ht="15.75" hidden="false" customHeight="true" outlineLevel="0" collapsed="false">
      <c r="B479" s="5"/>
    </row>
    <row r="480" customFormat="false" ht="15.75" hidden="false" customHeight="true" outlineLevel="0" collapsed="false">
      <c r="B480" s="5"/>
    </row>
    <row r="481" customFormat="false" ht="15.75" hidden="false" customHeight="true" outlineLevel="0" collapsed="false">
      <c r="B481" s="5"/>
    </row>
    <row r="482" customFormat="false" ht="15.75" hidden="false" customHeight="true" outlineLevel="0" collapsed="false">
      <c r="B482" s="5"/>
    </row>
    <row r="483" customFormat="false" ht="15.75" hidden="false" customHeight="true" outlineLevel="0" collapsed="false">
      <c r="B483" s="5"/>
    </row>
    <row r="484" customFormat="false" ht="15.75" hidden="false" customHeight="true" outlineLevel="0" collapsed="false">
      <c r="B484" s="5"/>
    </row>
    <row r="485" customFormat="false" ht="15.75" hidden="false" customHeight="true" outlineLevel="0" collapsed="false">
      <c r="B485" s="5"/>
    </row>
    <row r="486" customFormat="false" ht="15.75" hidden="false" customHeight="true" outlineLevel="0" collapsed="false">
      <c r="B486" s="5"/>
    </row>
    <row r="487" customFormat="false" ht="15.75" hidden="false" customHeight="true" outlineLevel="0" collapsed="false">
      <c r="B487" s="5"/>
    </row>
    <row r="488" customFormat="false" ht="15.75" hidden="false" customHeight="true" outlineLevel="0" collapsed="false">
      <c r="B488" s="5"/>
    </row>
    <row r="489" customFormat="false" ht="15.75" hidden="false" customHeight="true" outlineLevel="0" collapsed="false">
      <c r="B489" s="5"/>
    </row>
    <row r="490" customFormat="false" ht="15.75" hidden="false" customHeight="true" outlineLevel="0" collapsed="false">
      <c r="B490" s="5"/>
    </row>
    <row r="491" customFormat="false" ht="15.75" hidden="false" customHeight="true" outlineLevel="0" collapsed="false">
      <c r="B491" s="5"/>
    </row>
    <row r="492" customFormat="false" ht="15.75" hidden="false" customHeight="true" outlineLevel="0" collapsed="false">
      <c r="B492" s="5"/>
    </row>
    <row r="493" customFormat="false" ht="15.75" hidden="false" customHeight="true" outlineLevel="0" collapsed="false">
      <c r="B493" s="5"/>
    </row>
    <row r="494" customFormat="false" ht="15.75" hidden="false" customHeight="true" outlineLevel="0" collapsed="false">
      <c r="B494" s="5"/>
    </row>
    <row r="495" customFormat="false" ht="15.75" hidden="false" customHeight="true" outlineLevel="0" collapsed="false">
      <c r="B495" s="5"/>
    </row>
    <row r="496" customFormat="false" ht="15.75" hidden="false" customHeight="true" outlineLevel="0" collapsed="false">
      <c r="B496" s="5"/>
    </row>
    <row r="497" customFormat="false" ht="15.75" hidden="false" customHeight="true" outlineLevel="0" collapsed="false">
      <c r="B497" s="5"/>
    </row>
    <row r="498" customFormat="false" ht="15.75" hidden="false" customHeight="true" outlineLevel="0" collapsed="false">
      <c r="B498" s="5"/>
    </row>
    <row r="499" customFormat="false" ht="15.75" hidden="false" customHeight="true" outlineLevel="0" collapsed="false">
      <c r="B499" s="5"/>
    </row>
    <row r="500" customFormat="false" ht="15.75" hidden="false" customHeight="true" outlineLevel="0" collapsed="false">
      <c r="B500" s="5"/>
    </row>
    <row r="501" customFormat="false" ht="15.75" hidden="false" customHeight="true" outlineLevel="0" collapsed="false">
      <c r="B501" s="5"/>
    </row>
    <row r="502" customFormat="false" ht="15.75" hidden="false" customHeight="true" outlineLevel="0" collapsed="false">
      <c r="B502" s="5"/>
    </row>
    <row r="503" customFormat="false" ht="15.75" hidden="false" customHeight="true" outlineLevel="0" collapsed="false">
      <c r="B503" s="5"/>
    </row>
    <row r="504" customFormat="false" ht="15.75" hidden="false" customHeight="true" outlineLevel="0" collapsed="false">
      <c r="B504" s="5"/>
    </row>
    <row r="505" customFormat="false" ht="15.75" hidden="false" customHeight="true" outlineLevel="0" collapsed="false">
      <c r="B505" s="5"/>
    </row>
    <row r="506" customFormat="false" ht="15.75" hidden="false" customHeight="true" outlineLevel="0" collapsed="false">
      <c r="B506" s="5"/>
    </row>
    <row r="507" customFormat="false" ht="15.75" hidden="false" customHeight="true" outlineLevel="0" collapsed="false">
      <c r="B507" s="5"/>
    </row>
    <row r="508" customFormat="false" ht="15.75" hidden="false" customHeight="true" outlineLevel="0" collapsed="false">
      <c r="B508" s="5"/>
    </row>
    <row r="509" customFormat="false" ht="15.75" hidden="false" customHeight="true" outlineLevel="0" collapsed="false">
      <c r="B509" s="5"/>
    </row>
    <row r="510" customFormat="false" ht="15.75" hidden="false" customHeight="true" outlineLevel="0" collapsed="false">
      <c r="B510" s="5"/>
    </row>
    <row r="511" customFormat="false" ht="15.75" hidden="false" customHeight="true" outlineLevel="0" collapsed="false">
      <c r="B511" s="5"/>
    </row>
    <row r="512" customFormat="false" ht="15.75" hidden="false" customHeight="true" outlineLevel="0" collapsed="false">
      <c r="B512" s="5"/>
    </row>
    <row r="513" customFormat="false" ht="15.75" hidden="false" customHeight="true" outlineLevel="0" collapsed="false">
      <c r="B513" s="5"/>
    </row>
    <row r="514" customFormat="false" ht="15.75" hidden="false" customHeight="true" outlineLevel="0" collapsed="false">
      <c r="B514" s="5"/>
    </row>
    <row r="515" customFormat="false" ht="15.75" hidden="false" customHeight="true" outlineLevel="0" collapsed="false">
      <c r="B515" s="5"/>
    </row>
    <row r="516" customFormat="false" ht="15.75" hidden="false" customHeight="true" outlineLevel="0" collapsed="false">
      <c r="B516" s="5"/>
    </row>
    <row r="517" customFormat="false" ht="15.75" hidden="false" customHeight="true" outlineLevel="0" collapsed="false">
      <c r="B517" s="5"/>
    </row>
    <row r="518" customFormat="false" ht="15.75" hidden="false" customHeight="true" outlineLevel="0" collapsed="false">
      <c r="B518" s="5"/>
    </row>
    <row r="519" customFormat="false" ht="15.75" hidden="false" customHeight="true" outlineLevel="0" collapsed="false">
      <c r="B519" s="5"/>
    </row>
    <row r="520" customFormat="false" ht="15.75" hidden="false" customHeight="true" outlineLevel="0" collapsed="false">
      <c r="B520" s="5"/>
    </row>
    <row r="521" customFormat="false" ht="15.75" hidden="false" customHeight="true" outlineLevel="0" collapsed="false">
      <c r="B521" s="5"/>
    </row>
    <row r="522" customFormat="false" ht="15.75" hidden="false" customHeight="true" outlineLevel="0" collapsed="false">
      <c r="B522" s="5"/>
    </row>
    <row r="523" customFormat="false" ht="15.75" hidden="false" customHeight="true" outlineLevel="0" collapsed="false">
      <c r="B523" s="5"/>
    </row>
    <row r="524" customFormat="false" ht="15.75" hidden="false" customHeight="true" outlineLevel="0" collapsed="false">
      <c r="B524" s="5"/>
    </row>
    <row r="525" customFormat="false" ht="15.75" hidden="false" customHeight="true" outlineLevel="0" collapsed="false">
      <c r="B525" s="5"/>
    </row>
    <row r="526" customFormat="false" ht="15.75" hidden="false" customHeight="true" outlineLevel="0" collapsed="false">
      <c r="B526" s="5"/>
    </row>
    <row r="527" customFormat="false" ht="15.75" hidden="false" customHeight="true" outlineLevel="0" collapsed="false">
      <c r="B527" s="5"/>
    </row>
    <row r="528" customFormat="false" ht="15.75" hidden="false" customHeight="true" outlineLevel="0" collapsed="false">
      <c r="B528" s="5"/>
    </row>
    <row r="529" customFormat="false" ht="15.75" hidden="false" customHeight="true" outlineLevel="0" collapsed="false">
      <c r="B529" s="5"/>
    </row>
    <row r="530" customFormat="false" ht="15.75" hidden="false" customHeight="true" outlineLevel="0" collapsed="false">
      <c r="B530" s="5"/>
    </row>
    <row r="531" customFormat="false" ht="15.75" hidden="false" customHeight="true" outlineLevel="0" collapsed="false">
      <c r="B531" s="5"/>
    </row>
    <row r="532" customFormat="false" ht="15.75" hidden="false" customHeight="true" outlineLevel="0" collapsed="false">
      <c r="B532" s="5"/>
    </row>
    <row r="533" customFormat="false" ht="15.75" hidden="false" customHeight="true" outlineLevel="0" collapsed="false">
      <c r="B533" s="5"/>
    </row>
    <row r="534" customFormat="false" ht="15.75" hidden="false" customHeight="true" outlineLevel="0" collapsed="false">
      <c r="B534" s="5"/>
    </row>
    <row r="535" customFormat="false" ht="15.75" hidden="false" customHeight="true" outlineLevel="0" collapsed="false">
      <c r="B535" s="5"/>
    </row>
    <row r="536" customFormat="false" ht="15.75" hidden="false" customHeight="true" outlineLevel="0" collapsed="false">
      <c r="B536" s="5"/>
    </row>
    <row r="537" customFormat="false" ht="15.75" hidden="false" customHeight="true" outlineLevel="0" collapsed="false">
      <c r="B537" s="5"/>
    </row>
    <row r="538" customFormat="false" ht="15.75" hidden="false" customHeight="true" outlineLevel="0" collapsed="false">
      <c r="B538" s="5"/>
    </row>
    <row r="539" customFormat="false" ht="15.75" hidden="false" customHeight="true" outlineLevel="0" collapsed="false">
      <c r="B539" s="5"/>
    </row>
    <row r="540" customFormat="false" ht="15.75" hidden="false" customHeight="true" outlineLevel="0" collapsed="false">
      <c r="B540" s="5"/>
    </row>
    <row r="541" customFormat="false" ht="15.75" hidden="false" customHeight="true" outlineLevel="0" collapsed="false">
      <c r="B541" s="5"/>
    </row>
    <row r="542" customFormat="false" ht="15.75" hidden="false" customHeight="true" outlineLevel="0" collapsed="false">
      <c r="B542" s="5"/>
    </row>
    <row r="543" customFormat="false" ht="15.75" hidden="false" customHeight="true" outlineLevel="0" collapsed="false">
      <c r="B543" s="5"/>
    </row>
    <row r="544" customFormat="false" ht="15.75" hidden="false" customHeight="true" outlineLevel="0" collapsed="false">
      <c r="B544" s="5"/>
    </row>
    <row r="545" customFormat="false" ht="15.75" hidden="false" customHeight="true" outlineLevel="0" collapsed="false">
      <c r="B545" s="5"/>
    </row>
    <row r="546" customFormat="false" ht="15.75" hidden="false" customHeight="true" outlineLevel="0" collapsed="false">
      <c r="B546" s="5"/>
    </row>
    <row r="547" customFormat="false" ht="15.75" hidden="false" customHeight="true" outlineLevel="0" collapsed="false">
      <c r="B547" s="5"/>
    </row>
    <row r="548" customFormat="false" ht="15.75" hidden="false" customHeight="true" outlineLevel="0" collapsed="false">
      <c r="B548" s="5"/>
    </row>
    <row r="549" customFormat="false" ht="15.75" hidden="false" customHeight="true" outlineLevel="0" collapsed="false">
      <c r="B549" s="5"/>
    </row>
    <row r="550" customFormat="false" ht="15.75" hidden="false" customHeight="true" outlineLevel="0" collapsed="false">
      <c r="B550" s="5"/>
    </row>
    <row r="551" customFormat="false" ht="15.75" hidden="false" customHeight="true" outlineLevel="0" collapsed="false">
      <c r="B551" s="5"/>
    </row>
    <row r="552" customFormat="false" ht="15.75" hidden="false" customHeight="true" outlineLevel="0" collapsed="false">
      <c r="B552" s="5"/>
    </row>
    <row r="553" customFormat="false" ht="15.75" hidden="false" customHeight="true" outlineLevel="0" collapsed="false">
      <c r="B553" s="5"/>
    </row>
    <row r="554" customFormat="false" ht="15.75" hidden="false" customHeight="true" outlineLevel="0" collapsed="false">
      <c r="B554" s="5"/>
    </row>
    <row r="555" customFormat="false" ht="15.75" hidden="false" customHeight="true" outlineLevel="0" collapsed="false">
      <c r="B555" s="5"/>
    </row>
    <row r="556" customFormat="false" ht="15.75" hidden="false" customHeight="true" outlineLevel="0" collapsed="false">
      <c r="B556" s="5"/>
    </row>
    <row r="557" customFormat="false" ht="15.75" hidden="false" customHeight="true" outlineLevel="0" collapsed="false">
      <c r="B557" s="5"/>
    </row>
    <row r="558" customFormat="false" ht="15.75" hidden="false" customHeight="true" outlineLevel="0" collapsed="false">
      <c r="B558" s="5"/>
    </row>
    <row r="559" customFormat="false" ht="15.75" hidden="false" customHeight="true" outlineLevel="0" collapsed="false">
      <c r="B559" s="5"/>
    </row>
    <row r="560" customFormat="false" ht="15.75" hidden="false" customHeight="true" outlineLevel="0" collapsed="false">
      <c r="B560" s="5"/>
    </row>
    <row r="561" customFormat="false" ht="15.75" hidden="false" customHeight="true" outlineLevel="0" collapsed="false">
      <c r="B561" s="5"/>
    </row>
    <row r="562" customFormat="false" ht="15.75" hidden="false" customHeight="true" outlineLevel="0" collapsed="false">
      <c r="B562" s="5"/>
    </row>
    <row r="563" customFormat="false" ht="15.75" hidden="false" customHeight="true" outlineLevel="0" collapsed="false">
      <c r="B563" s="5"/>
    </row>
    <row r="564" customFormat="false" ht="15.75" hidden="false" customHeight="true" outlineLevel="0" collapsed="false">
      <c r="B564" s="5"/>
    </row>
    <row r="565" customFormat="false" ht="15.75" hidden="false" customHeight="true" outlineLevel="0" collapsed="false">
      <c r="B565" s="5"/>
    </row>
    <row r="566" customFormat="false" ht="15.75" hidden="false" customHeight="true" outlineLevel="0" collapsed="false">
      <c r="B566" s="5"/>
    </row>
    <row r="567" customFormat="false" ht="15.75" hidden="false" customHeight="true" outlineLevel="0" collapsed="false">
      <c r="B567" s="5"/>
    </row>
    <row r="568" customFormat="false" ht="15.75" hidden="false" customHeight="true" outlineLevel="0" collapsed="false">
      <c r="B568" s="5"/>
    </row>
    <row r="569" customFormat="false" ht="15.75" hidden="false" customHeight="true" outlineLevel="0" collapsed="false">
      <c r="B569" s="5"/>
    </row>
    <row r="570" customFormat="false" ht="15.75" hidden="false" customHeight="true" outlineLevel="0" collapsed="false">
      <c r="B570" s="5"/>
    </row>
    <row r="571" customFormat="false" ht="15.75" hidden="false" customHeight="true" outlineLevel="0" collapsed="false">
      <c r="B571" s="5"/>
    </row>
    <row r="572" customFormat="false" ht="15.75" hidden="false" customHeight="true" outlineLevel="0" collapsed="false">
      <c r="B572" s="5"/>
    </row>
    <row r="573" customFormat="false" ht="15.75" hidden="false" customHeight="true" outlineLevel="0" collapsed="false">
      <c r="B573" s="5"/>
    </row>
    <row r="574" customFormat="false" ht="15.75" hidden="false" customHeight="true" outlineLevel="0" collapsed="false">
      <c r="B574" s="5"/>
    </row>
    <row r="575" customFormat="false" ht="15.75" hidden="false" customHeight="true" outlineLevel="0" collapsed="false">
      <c r="B575" s="5"/>
    </row>
    <row r="576" customFormat="false" ht="15.75" hidden="false" customHeight="true" outlineLevel="0" collapsed="false">
      <c r="B576" s="5"/>
    </row>
    <row r="577" customFormat="false" ht="15.75" hidden="false" customHeight="true" outlineLevel="0" collapsed="false">
      <c r="B577" s="5"/>
    </row>
    <row r="578" customFormat="false" ht="15.75" hidden="false" customHeight="true" outlineLevel="0" collapsed="false">
      <c r="B578" s="5"/>
    </row>
    <row r="579" customFormat="false" ht="15.75" hidden="false" customHeight="true" outlineLevel="0" collapsed="false">
      <c r="B579" s="5"/>
    </row>
    <row r="580" customFormat="false" ht="15.75" hidden="false" customHeight="true" outlineLevel="0" collapsed="false">
      <c r="B580" s="5"/>
    </row>
    <row r="581" customFormat="false" ht="15.75" hidden="false" customHeight="true" outlineLevel="0" collapsed="false">
      <c r="B581" s="5"/>
    </row>
    <row r="582" customFormat="false" ht="15.75" hidden="false" customHeight="true" outlineLevel="0" collapsed="false">
      <c r="B582" s="5"/>
    </row>
    <row r="583" customFormat="false" ht="15.75" hidden="false" customHeight="true" outlineLevel="0" collapsed="false">
      <c r="B583" s="5"/>
    </row>
    <row r="584" customFormat="false" ht="15.75" hidden="false" customHeight="true" outlineLevel="0" collapsed="false">
      <c r="B584" s="5"/>
    </row>
    <row r="585" customFormat="false" ht="15.75" hidden="false" customHeight="true" outlineLevel="0" collapsed="false">
      <c r="B585" s="5"/>
    </row>
    <row r="586" customFormat="false" ht="15.75" hidden="false" customHeight="true" outlineLevel="0" collapsed="false">
      <c r="B586" s="5"/>
    </row>
    <row r="587" customFormat="false" ht="15.75" hidden="false" customHeight="true" outlineLevel="0" collapsed="false">
      <c r="B587" s="5"/>
    </row>
    <row r="588" customFormat="false" ht="15.75" hidden="false" customHeight="true" outlineLevel="0" collapsed="false">
      <c r="B588" s="5"/>
    </row>
    <row r="589" customFormat="false" ht="15.75" hidden="false" customHeight="true" outlineLevel="0" collapsed="false">
      <c r="B589" s="5"/>
    </row>
    <row r="590" customFormat="false" ht="15.75" hidden="false" customHeight="true" outlineLevel="0" collapsed="false">
      <c r="B590" s="5"/>
    </row>
    <row r="591" customFormat="false" ht="15.75" hidden="false" customHeight="true" outlineLevel="0" collapsed="false">
      <c r="B591" s="5"/>
    </row>
    <row r="592" customFormat="false" ht="15.75" hidden="false" customHeight="true" outlineLevel="0" collapsed="false">
      <c r="B592" s="5"/>
    </row>
    <row r="593" customFormat="false" ht="15.75" hidden="false" customHeight="true" outlineLevel="0" collapsed="false">
      <c r="B593" s="5"/>
    </row>
    <row r="594" customFormat="false" ht="15.75" hidden="false" customHeight="true" outlineLevel="0" collapsed="false">
      <c r="B594" s="5"/>
    </row>
    <row r="595" customFormat="false" ht="15.75" hidden="false" customHeight="true" outlineLevel="0" collapsed="false">
      <c r="B595" s="5"/>
    </row>
    <row r="596" customFormat="false" ht="15.75" hidden="false" customHeight="true" outlineLevel="0" collapsed="false">
      <c r="B596" s="5"/>
    </row>
    <row r="597" customFormat="false" ht="15.75" hidden="false" customHeight="true" outlineLevel="0" collapsed="false">
      <c r="B597" s="5"/>
    </row>
    <row r="598" customFormat="false" ht="15.75" hidden="false" customHeight="true" outlineLevel="0" collapsed="false">
      <c r="B598" s="5"/>
    </row>
    <row r="599" customFormat="false" ht="15.75" hidden="false" customHeight="true" outlineLevel="0" collapsed="false">
      <c r="B599" s="5"/>
    </row>
    <row r="600" customFormat="false" ht="15.75" hidden="false" customHeight="true" outlineLevel="0" collapsed="false">
      <c r="B600" s="5"/>
    </row>
    <row r="601" customFormat="false" ht="15.75" hidden="false" customHeight="true" outlineLevel="0" collapsed="false">
      <c r="B601" s="5"/>
    </row>
    <row r="602" customFormat="false" ht="15.75" hidden="false" customHeight="true" outlineLevel="0" collapsed="false">
      <c r="B602" s="5"/>
    </row>
    <row r="603" customFormat="false" ht="15.75" hidden="false" customHeight="true" outlineLevel="0" collapsed="false">
      <c r="B603" s="5"/>
    </row>
    <row r="604" customFormat="false" ht="15.75" hidden="false" customHeight="true" outlineLevel="0" collapsed="false">
      <c r="B604" s="5"/>
    </row>
    <row r="605" customFormat="false" ht="15.75" hidden="false" customHeight="true" outlineLevel="0" collapsed="false">
      <c r="B605" s="5"/>
    </row>
    <row r="606" customFormat="false" ht="15.75" hidden="false" customHeight="true" outlineLevel="0" collapsed="false">
      <c r="B606" s="5"/>
    </row>
    <row r="607" customFormat="false" ht="15.75" hidden="false" customHeight="true" outlineLevel="0" collapsed="false">
      <c r="B607" s="5"/>
    </row>
    <row r="608" customFormat="false" ht="15.75" hidden="false" customHeight="true" outlineLevel="0" collapsed="false">
      <c r="B608" s="5"/>
    </row>
    <row r="609" customFormat="false" ht="15.75" hidden="false" customHeight="true" outlineLevel="0" collapsed="false">
      <c r="B609" s="5"/>
    </row>
    <row r="610" customFormat="false" ht="15.75" hidden="false" customHeight="true" outlineLevel="0" collapsed="false">
      <c r="B610" s="5"/>
    </row>
    <row r="611" customFormat="false" ht="15.75" hidden="false" customHeight="true" outlineLevel="0" collapsed="false">
      <c r="B611" s="5"/>
    </row>
    <row r="612" customFormat="false" ht="15.75" hidden="false" customHeight="true" outlineLevel="0" collapsed="false">
      <c r="B612" s="5"/>
    </row>
    <row r="613" customFormat="false" ht="15.75" hidden="false" customHeight="true" outlineLevel="0" collapsed="false">
      <c r="B613" s="5"/>
    </row>
    <row r="614" customFormat="false" ht="15.75" hidden="false" customHeight="true" outlineLevel="0" collapsed="false">
      <c r="B614" s="5"/>
    </row>
    <row r="615" customFormat="false" ht="15.75" hidden="false" customHeight="true" outlineLevel="0" collapsed="false">
      <c r="B615" s="5"/>
    </row>
    <row r="616" customFormat="false" ht="15.75" hidden="false" customHeight="true" outlineLevel="0" collapsed="false">
      <c r="B616" s="5"/>
    </row>
    <row r="617" customFormat="false" ht="15.75" hidden="false" customHeight="true" outlineLevel="0" collapsed="false">
      <c r="B617" s="5"/>
    </row>
    <row r="618" customFormat="false" ht="15.75" hidden="false" customHeight="true" outlineLevel="0" collapsed="false">
      <c r="B618" s="5"/>
    </row>
    <row r="619" customFormat="false" ht="15.75" hidden="false" customHeight="true" outlineLevel="0" collapsed="false">
      <c r="B619" s="5"/>
    </row>
    <row r="620" customFormat="false" ht="15.75" hidden="false" customHeight="true" outlineLevel="0" collapsed="false">
      <c r="B620" s="5"/>
    </row>
    <row r="621" customFormat="false" ht="15.75" hidden="false" customHeight="true" outlineLevel="0" collapsed="false">
      <c r="B621" s="5"/>
    </row>
    <row r="622" customFormat="false" ht="15.75" hidden="false" customHeight="true" outlineLevel="0" collapsed="false">
      <c r="B622" s="5"/>
    </row>
    <row r="623" customFormat="false" ht="15.75" hidden="false" customHeight="true" outlineLevel="0" collapsed="false">
      <c r="B623" s="5"/>
    </row>
    <row r="624" customFormat="false" ht="15.75" hidden="false" customHeight="true" outlineLevel="0" collapsed="false">
      <c r="B624" s="5"/>
    </row>
    <row r="625" customFormat="false" ht="15.75" hidden="false" customHeight="true" outlineLevel="0" collapsed="false">
      <c r="B625" s="5"/>
    </row>
    <row r="626" customFormat="false" ht="15.75" hidden="false" customHeight="true" outlineLevel="0" collapsed="false">
      <c r="B626" s="5"/>
    </row>
    <row r="627" customFormat="false" ht="15.75" hidden="false" customHeight="true" outlineLevel="0" collapsed="false">
      <c r="B627" s="5"/>
    </row>
    <row r="628" customFormat="false" ht="15.75" hidden="false" customHeight="true" outlineLevel="0" collapsed="false">
      <c r="B628" s="5"/>
    </row>
    <row r="629" customFormat="false" ht="15.75" hidden="false" customHeight="true" outlineLevel="0" collapsed="false">
      <c r="B629" s="5"/>
    </row>
    <row r="630" customFormat="false" ht="15.75" hidden="false" customHeight="true" outlineLevel="0" collapsed="false">
      <c r="B630" s="5"/>
    </row>
    <row r="631" customFormat="false" ht="15.75" hidden="false" customHeight="true" outlineLevel="0" collapsed="false">
      <c r="B631" s="5"/>
    </row>
    <row r="632" customFormat="false" ht="15.75" hidden="false" customHeight="true" outlineLevel="0" collapsed="false">
      <c r="B632" s="5"/>
    </row>
    <row r="633" customFormat="false" ht="15.75" hidden="false" customHeight="true" outlineLevel="0" collapsed="false">
      <c r="B633" s="5"/>
    </row>
    <row r="634" customFormat="false" ht="15.75" hidden="false" customHeight="true" outlineLevel="0" collapsed="false">
      <c r="B634" s="5"/>
    </row>
    <row r="635" customFormat="false" ht="15.75" hidden="false" customHeight="true" outlineLevel="0" collapsed="false">
      <c r="B635" s="5"/>
    </row>
    <row r="636" customFormat="false" ht="15.75" hidden="false" customHeight="true" outlineLevel="0" collapsed="false">
      <c r="B636" s="5"/>
    </row>
    <row r="637" customFormat="false" ht="15.75" hidden="false" customHeight="true" outlineLevel="0" collapsed="false">
      <c r="B637" s="5"/>
    </row>
    <row r="638" customFormat="false" ht="15.75" hidden="false" customHeight="true" outlineLevel="0" collapsed="false">
      <c r="B638" s="5"/>
    </row>
    <row r="639" customFormat="false" ht="15.75" hidden="false" customHeight="true" outlineLevel="0" collapsed="false">
      <c r="B639" s="5"/>
    </row>
    <row r="640" customFormat="false" ht="15.75" hidden="false" customHeight="true" outlineLevel="0" collapsed="false">
      <c r="B640" s="5"/>
    </row>
    <row r="641" customFormat="false" ht="15.75" hidden="false" customHeight="true" outlineLevel="0" collapsed="false">
      <c r="B641" s="5"/>
    </row>
    <row r="642" customFormat="false" ht="15.75" hidden="false" customHeight="true" outlineLevel="0" collapsed="false">
      <c r="B642" s="5"/>
    </row>
    <row r="643" customFormat="false" ht="15.75" hidden="false" customHeight="true" outlineLevel="0" collapsed="false">
      <c r="B643" s="5"/>
    </row>
    <row r="644" customFormat="false" ht="15.75" hidden="false" customHeight="true" outlineLevel="0" collapsed="false">
      <c r="B644" s="5"/>
    </row>
    <row r="645" customFormat="false" ht="15.75" hidden="false" customHeight="true" outlineLevel="0" collapsed="false">
      <c r="B645" s="5"/>
    </row>
    <row r="646" customFormat="false" ht="15.75" hidden="false" customHeight="true" outlineLevel="0" collapsed="false">
      <c r="B646" s="5"/>
    </row>
    <row r="647" customFormat="false" ht="15.75" hidden="false" customHeight="true" outlineLevel="0" collapsed="false">
      <c r="B647" s="5"/>
    </row>
    <row r="648" customFormat="false" ht="15.75" hidden="false" customHeight="true" outlineLevel="0" collapsed="false">
      <c r="B648" s="5"/>
    </row>
    <row r="649" customFormat="false" ht="15.75" hidden="false" customHeight="true" outlineLevel="0" collapsed="false">
      <c r="B649" s="5"/>
    </row>
    <row r="650" customFormat="false" ht="15.75" hidden="false" customHeight="true" outlineLevel="0" collapsed="false">
      <c r="B650" s="5"/>
    </row>
    <row r="651" customFormat="false" ht="15.75" hidden="false" customHeight="true" outlineLevel="0" collapsed="false">
      <c r="B651" s="5"/>
    </row>
    <row r="652" customFormat="false" ht="15.75" hidden="false" customHeight="true" outlineLevel="0" collapsed="false">
      <c r="B652" s="5"/>
    </row>
    <row r="653" customFormat="false" ht="15.75" hidden="false" customHeight="true" outlineLevel="0" collapsed="false">
      <c r="B653" s="5"/>
    </row>
    <row r="654" customFormat="false" ht="15.75" hidden="false" customHeight="true" outlineLevel="0" collapsed="false">
      <c r="B654" s="5"/>
    </row>
    <row r="655" customFormat="false" ht="15.75" hidden="false" customHeight="true" outlineLevel="0" collapsed="false">
      <c r="B655" s="5"/>
    </row>
    <row r="656" customFormat="false" ht="15.75" hidden="false" customHeight="true" outlineLevel="0" collapsed="false">
      <c r="B656" s="5"/>
    </row>
    <row r="657" customFormat="false" ht="15.75" hidden="false" customHeight="true" outlineLevel="0" collapsed="false">
      <c r="B657" s="5"/>
    </row>
    <row r="658" customFormat="false" ht="15.75" hidden="false" customHeight="true" outlineLevel="0" collapsed="false">
      <c r="B658" s="5"/>
    </row>
    <row r="659" customFormat="false" ht="15.75" hidden="false" customHeight="true" outlineLevel="0" collapsed="false">
      <c r="B659" s="5"/>
    </row>
    <row r="660" customFormat="false" ht="15.75" hidden="false" customHeight="true" outlineLevel="0" collapsed="false">
      <c r="B660" s="5"/>
    </row>
    <row r="661" customFormat="false" ht="15.75" hidden="false" customHeight="true" outlineLevel="0" collapsed="false">
      <c r="B661" s="5"/>
    </row>
    <row r="662" customFormat="false" ht="15.75" hidden="false" customHeight="true" outlineLevel="0" collapsed="false">
      <c r="B662" s="5"/>
    </row>
    <row r="663" customFormat="false" ht="15.75" hidden="false" customHeight="true" outlineLevel="0" collapsed="false">
      <c r="B663" s="5"/>
    </row>
    <row r="664" customFormat="false" ht="15.75" hidden="false" customHeight="true" outlineLevel="0" collapsed="false">
      <c r="B664" s="5"/>
    </row>
    <row r="665" customFormat="false" ht="15.75" hidden="false" customHeight="true" outlineLevel="0" collapsed="false">
      <c r="B665" s="5"/>
    </row>
    <row r="666" customFormat="false" ht="15.75" hidden="false" customHeight="true" outlineLevel="0" collapsed="false">
      <c r="B666" s="5"/>
    </row>
    <row r="667" customFormat="false" ht="15.75" hidden="false" customHeight="true" outlineLevel="0" collapsed="false">
      <c r="B667" s="5"/>
    </row>
    <row r="668" customFormat="false" ht="15.75" hidden="false" customHeight="true" outlineLevel="0" collapsed="false">
      <c r="B668" s="5"/>
    </row>
    <row r="669" customFormat="false" ht="15.75" hidden="false" customHeight="true" outlineLevel="0" collapsed="false">
      <c r="B669" s="5"/>
    </row>
    <row r="670" customFormat="false" ht="15.75" hidden="false" customHeight="true" outlineLevel="0" collapsed="false">
      <c r="B670" s="5"/>
    </row>
    <row r="671" customFormat="false" ht="15.75" hidden="false" customHeight="true" outlineLevel="0" collapsed="false">
      <c r="B671" s="5"/>
    </row>
    <row r="672" customFormat="false" ht="15.75" hidden="false" customHeight="true" outlineLevel="0" collapsed="false">
      <c r="B672" s="5"/>
    </row>
    <row r="673" customFormat="false" ht="15.75" hidden="false" customHeight="true" outlineLevel="0" collapsed="false">
      <c r="B673" s="5"/>
    </row>
    <row r="674" customFormat="false" ht="15.75" hidden="false" customHeight="true" outlineLevel="0" collapsed="false">
      <c r="B674" s="5"/>
    </row>
    <row r="675" customFormat="false" ht="15.75" hidden="false" customHeight="true" outlineLevel="0" collapsed="false">
      <c r="B675" s="5"/>
    </row>
    <row r="676" customFormat="false" ht="15.75" hidden="false" customHeight="true" outlineLevel="0" collapsed="false">
      <c r="B676" s="5"/>
    </row>
    <row r="677" customFormat="false" ht="15.75" hidden="false" customHeight="true" outlineLevel="0" collapsed="false">
      <c r="B677" s="5"/>
    </row>
    <row r="678" customFormat="false" ht="15.75" hidden="false" customHeight="true" outlineLevel="0" collapsed="false">
      <c r="B678" s="5"/>
    </row>
    <row r="679" customFormat="false" ht="15.75" hidden="false" customHeight="true" outlineLevel="0" collapsed="false">
      <c r="B679" s="5"/>
    </row>
    <row r="680" customFormat="false" ht="15.75" hidden="false" customHeight="true" outlineLevel="0" collapsed="false">
      <c r="B680" s="5"/>
    </row>
    <row r="681" customFormat="false" ht="15.75" hidden="false" customHeight="true" outlineLevel="0" collapsed="false">
      <c r="B681" s="5"/>
    </row>
    <row r="682" customFormat="false" ht="15.75" hidden="false" customHeight="true" outlineLevel="0" collapsed="false">
      <c r="B682" s="5"/>
    </row>
    <row r="683" customFormat="false" ht="15.75" hidden="false" customHeight="true" outlineLevel="0" collapsed="false">
      <c r="B683" s="5"/>
    </row>
    <row r="684" customFormat="false" ht="15.75" hidden="false" customHeight="true" outlineLevel="0" collapsed="false">
      <c r="B684" s="5"/>
    </row>
    <row r="685" customFormat="false" ht="15.75" hidden="false" customHeight="true" outlineLevel="0" collapsed="false">
      <c r="B685" s="5"/>
    </row>
    <row r="686" customFormat="false" ht="15.75" hidden="false" customHeight="true" outlineLevel="0" collapsed="false">
      <c r="B686" s="5"/>
    </row>
    <row r="687" customFormat="false" ht="15.75" hidden="false" customHeight="true" outlineLevel="0" collapsed="false">
      <c r="B687" s="5"/>
    </row>
    <row r="688" customFormat="false" ht="15.75" hidden="false" customHeight="true" outlineLevel="0" collapsed="false">
      <c r="B688" s="5"/>
    </row>
    <row r="689" customFormat="false" ht="15.75" hidden="false" customHeight="true" outlineLevel="0" collapsed="false">
      <c r="B689" s="5"/>
    </row>
    <row r="690" customFormat="false" ht="15.75" hidden="false" customHeight="true" outlineLevel="0" collapsed="false">
      <c r="B690" s="5"/>
    </row>
    <row r="691" customFormat="false" ht="15.75" hidden="false" customHeight="true" outlineLevel="0" collapsed="false">
      <c r="B691" s="5"/>
    </row>
    <row r="692" customFormat="false" ht="15.75" hidden="false" customHeight="true" outlineLevel="0" collapsed="false">
      <c r="B692" s="5"/>
    </row>
    <row r="693" customFormat="false" ht="15.75" hidden="false" customHeight="true" outlineLevel="0" collapsed="false">
      <c r="B693" s="5"/>
    </row>
    <row r="694" customFormat="false" ht="15.75" hidden="false" customHeight="true" outlineLevel="0" collapsed="false">
      <c r="B694" s="5"/>
    </row>
    <row r="695" customFormat="false" ht="15.75" hidden="false" customHeight="true" outlineLevel="0" collapsed="false">
      <c r="B695" s="5"/>
    </row>
    <row r="696" customFormat="false" ht="15.75" hidden="false" customHeight="true" outlineLevel="0" collapsed="false">
      <c r="B696" s="5"/>
    </row>
    <row r="697" customFormat="false" ht="15.75" hidden="false" customHeight="true" outlineLevel="0" collapsed="false">
      <c r="B697" s="5"/>
    </row>
    <row r="698" customFormat="false" ht="15.75" hidden="false" customHeight="true" outlineLevel="0" collapsed="false">
      <c r="B698" s="5"/>
    </row>
    <row r="699" customFormat="false" ht="15.75" hidden="false" customHeight="true" outlineLevel="0" collapsed="false">
      <c r="B699" s="5"/>
    </row>
    <row r="700" customFormat="false" ht="15.75" hidden="false" customHeight="true" outlineLevel="0" collapsed="false">
      <c r="B700" s="5"/>
    </row>
    <row r="701" customFormat="false" ht="15.75" hidden="false" customHeight="true" outlineLevel="0" collapsed="false">
      <c r="B701" s="5"/>
    </row>
    <row r="702" customFormat="false" ht="15.75" hidden="false" customHeight="true" outlineLevel="0" collapsed="false">
      <c r="B702" s="5"/>
    </row>
    <row r="703" customFormat="false" ht="15.75" hidden="false" customHeight="true" outlineLevel="0" collapsed="false">
      <c r="B703" s="5"/>
    </row>
    <row r="704" customFormat="false" ht="15.75" hidden="false" customHeight="true" outlineLevel="0" collapsed="false">
      <c r="B704" s="5"/>
    </row>
    <row r="705" customFormat="false" ht="15.75" hidden="false" customHeight="true" outlineLevel="0" collapsed="false">
      <c r="B705" s="5"/>
    </row>
    <row r="706" customFormat="false" ht="15.75" hidden="false" customHeight="true" outlineLevel="0" collapsed="false">
      <c r="B706" s="5"/>
    </row>
    <row r="707" customFormat="false" ht="15.75" hidden="false" customHeight="true" outlineLevel="0" collapsed="false">
      <c r="B707" s="5"/>
    </row>
    <row r="708" customFormat="false" ht="15.75" hidden="false" customHeight="true" outlineLevel="0" collapsed="false">
      <c r="B708" s="5"/>
    </row>
    <row r="709" customFormat="false" ht="15.75" hidden="false" customHeight="true" outlineLevel="0" collapsed="false">
      <c r="B709" s="5"/>
    </row>
    <row r="710" customFormat="false" ht="15.75" hidden="false" customHeight="true" outlineLevel="0" collapsed="false">
      <c r="B710" s="5"/>
    </row>
    <row r="711" customFormat="false" ht="15.75" hidden="false" customHeight="true" outlineLevel="0" collapsed="false">
      <c r="B711" s="5"/>
    </row>
    <row r="712" customFormat="false" ht="15.75" hidden="false" customHeight="true" outlineLevel="0" collapsed="false">
      <c r="B712" s="5"/>
    </row>
    <row r="713" customFormat="false" ht="15.75" hidden="false" customHeight="true" outlineLevel="0" collapsed="false">
      <c r="B713" s="5"/>
    </row>
    <row r="714" customFormat="false" ht="15.75" hidden="false" customHeight="true" outlineLevel="0" collapsed="false">
      <c r="B714" s="5"/>
    </row>
    <row r="715" customFormat="false" ht="15.75" hidden="false" customHeight="true" outlineLevel="0" collapsed="false">
      <c r="B715" s="5"/>
    </row>
    <row r="716" customFormat="false" ht="15.75" hidden="false" customHeight="true" outlineLevel="0" collapsed="false">
      <c r="B716" s="5"/>
    </row>
    <row r="717" customFormat="false" ht="15.75" hidden="false" customHeight="true" outlineLevel="0" collapsed="false">
      <c r="B717" s="5"/>
    </row>
    <row r="718" customFormat="false" ht="15.75" hidden="false" customHeight="true" outlineLevel="0" collapsed="false">
      <c r="B718" s="5"/>
    </row>
    <row r="719" customFormat="false" ht="15.75" hidden="false" customHeight="true" outlineLevel="0" collapsed="false">
      <c r="B719" s="5"/>
    </row>
    <row r="720" customFormat="false" ht="15.75" hidden="false" customHeight="true" outlineLevel="0" collapsed="false">
      <c r="B720" s="5"/>
    </row>
    <row r="721" customFormat="false" ht="15.75" hidden="false" customHeight="true" outlineLevel="0" collapsed="false">
      <c r="B721" s="5"/>
    </row>
    <row r="722" customFormat="false" ht="15.75" hidden="false" customHeight="true" outlineLevel="0" collapsed="false">
      <c r="B722" s="5"/>
    </row>
    <row r="723" customFormat="false" ht="15.75" hidden="false" customHeight="true" outlineLevel="0" collapsed="false">
      <c r="B723" s="5"/>
    </row>
    <row r="724" customFormat="false" ht="15.75" hidden="false" customHeight="true" outlineLevel="0" collapsed="false">
      <c r="B724" s="5"/>
    </row>
    <row r="725" customFormat="false" ht="15.75" hidden="false" customHeight="true" outlineLevel="0" collapsed="false">
      <c r="B725" s="5"/>
    </row>
    <row r="726" customFormat="false" ht="15.75" hidden="false" customHeight="true" outlineLevel="0" collapsed="false">
      <c r="B726" s="5"/>
    </row>
    <row r="727" customFormat="false" ht="15.75" hidden="false" customHeight="true" outlineLevel="0" collapsed="false">
      <c r="B727" s="5"/>
    </row>
    <row r="728" customFormat="false" ht="15.75" hidden="false" customHeight="true" outlineLevel="0" collapsed="false">
      <c r="B728" s="5"/>
    </row>
    <row r="729" customFormat="false" ht="15.75" hidden="false" customHeight="true" outlineLevel="0" collapsed="false">
      <c r="B729" s="5"/>
    </row>
    <row r="730" customFormat="false" ht="15.75" hidden="false" customHeight="true" outlineLevel="0" collapsed="false">
      <c r="B730" s="5"/>
    </row>
    <row r="731" customFormat="false" ht="15.75" hidden="false" customHeight="true" outlineLevel="0" collapsed="false">
      <c r="B731" s="5"/>
    </row>
    <row r="732" customFormat="false" ht="15.75" hidden="false" customHeight="true" outlineLevel="0" collapsed="false">
      <c r="B732" s="5"/>
    </row>
    <row r="733" customFormat="false" ht="15.75" hidden="false" customHeight="true" outlineLevel="0" collapsed="false">
      <c r="B733" s="5"/>
    </row>
    <row r="734" customFormat="false" ht="15.75" hidden="false" customHeight="true" outlineLevel="0" collapsed="false">
      <c r="B734" s="5"/>
    </row>
    <row r="735" customFormat="false" ht="15.75" hidden="false" customHeight="true" outlineLevel="0" collapsed="false">
      <c r="B735" s="5"/>
    </row>
    <row r="736" customFormat="false" ht="15.75" hidden="false" customHeight="true" outlineLevel="0" collapsed="false">
      <c r="B736" s="5"/>
    </row>
    <row r="737" customFormat="false" ht="15.75" hidden="false" customHeight="true" outlineLevel="0" collapsed="false">
      <c r="B737" s="5"/>
    </row>
    <row r="738" customFormat="false" ht="15.75" hidden="false" customHeight="true" outlineLevel="0" collapsed="false">
      <c r="B738" s="5"/>
    </row>
    <row r="739" customFormat="false" ht="15.75" hidden="false" customHeight="true" outlineLevel="0" collapsed="false">
      <c r="B739" s="5"/>
    </row>
    <row r="740" customFormat="false" ht="15.75" hidden="false" customHeight="true" outlineLevel="0" collapsed="false">
      <c r="B740" s="5"/>
    </row>
    <row r="741" customFormat="false" ht="15.75" hidden="false" customHeight="true" outlineLevel="0" collapsed="false">
      <c r="B741" s="5"/>
    </row>
    <row r="742" customFormat="false" ht="15.75" hidden="false" customHeight="true" outlineLevel="0" collapsed="false">
      <c r="B742" s="5"/>
    </row>
    <row r="743" customFormat="false" ht="15.75" hidden="false" customHeight="true" outlineLevel="0" collapsed="false">
      <c r="B743" s="5"/>
    </row>
    <row r="744" customFormat="false" ht="15.75" hidden="false" customHeight="true" outlineLevel="0" collapsed="false">
      <c r="B744" s="5"/>
    </row>
    <row r="745" customFormat="false" ht="15.75" hidden="false" customHeight="true" outlineLevel="0" collapsed="false">
      <c r="B745" s="5"/>
    </row>
    <row r="746" customFormat="false" ht="15.75" hidden="false" customHeight="true" outlineLevel="0" collapsed="false">
      <c r="B746" s="5"/>
    </row>
    <row r="747" customFormat="false" ht="15.75" hidden="false" customHeight="true" outlineLevel="0" collapsed="false">
      <c r="B747" s="5"/>
    </row>
    <row r="748" customFormat="false" ht="15.75" hidden="false" customHeight="true" outlineLevel="0" collapsed="false">
      <c r="B748" s="5"/>
    </row>
    <row r="749" customFormat="false" ht="15.75" hidden="false" customHeight="true" outlineLevel="0" collapsed="false">
      <c r="B749" s="5"/>
    </row>
    <row r="750" customFormat="false" ht="15.75" hidden="false" customHeight="true" outlineLevel="0" collapsed="false">
      <c r="B750" s="5"/>
    </row>
    <row r="751" customFormat="false" ht="15.75" hidden="false" customHeight="true" outlineLevel="0" collapsed="false">
      <c r="B751" s="5"/>
    </row>
    <row r="752" customFormat="false" ht="15.75" hidden="false" customHeight="true" outlineLevel="0" collapsed="false">
      <c r="B752" s="5"/>
    </row>
    <row r="753" customFormat="false" ht="15.75" hidden="false" customHeight="true" outlineLevel="0" collapsed="false">
      <c r="B753" s="5"/>
    </row>
    <row r="754" customFormat="false" ht="15.75" hidden="false" customHeight="true" outlineLevel="0" collapsed="false">
      <c r="B754" s="5"/>
    </row>
    <row r="755" customFormat="false" ht="15.75" hidden="false" customHeight="true" outlineLevel="0" collapsed="false">
      <c r="B755" s="5"/>
    </row>
    <row r="756" customFormat="false" ht="15.75" hidden="false" customHeight="true" outlineLevel="0" collapsed="false">
      <c r="B756" s="5"/>
    </row>
    <row r="757" customFormat="false" ht="15.75" hidden="false" customHeight="true" outlineLevel="0" collapsed="false">
      <c r="B757" s="5"/>
    </row>
    <row r="758" customFormat="false" ht="15.75" hidden="false" customHeight="true" outlineLevel="0" collapsed="false">
      <c r="B758" s="5"/>
    </row>
    <row r="759" customFormat="false" ht="15.75" hidden="false" customHeight="true" outlineLevel="0" collapsed="false">
      <c r="B759" s="5"/>
    </row>
    <row r="760" customFormat="false" ht="15.75" hidden="false" customHeight="true" outlineLevel="0" collapsed="false">
      <c r="B760" s="5"/>
    </row>
    <row r="761" customFormat="false" ht="15.75" hidden="false" customHeight="true" outlineLevel="0" collapsed="false">
      <c r="B761" s="5"/>
    </row>
    <row r="762" customFormat="false" ht="15.75" hidden="false" customHeight="true" outlineLevel="0" collapsed="false">
      <c r="B762" s="5"/>
    </row>
    <row r="763" customFormat="false" ht="15.75" hidden="false" customHeight="true" outlineLevel="0" collapsed="false">
      <c r="B763" s="5"/>
    </row>
    <row r="764" customFormat="false" ht="15.75" hidden="false" customHeight="true" outlineLevel="0" collapsed="false">
      <c r="B764" s="5"/>
    </row>
    <row r="765" customFormat="false" ht="15.75" hidden="false" customHeight="true" outlineLevel="0" collapsed="false">
      <c r="B765" s="5"/>
    </row>
    <row r="766" customFormat="false" ht="15.75" hidden="false" customHeight="true" outlineLevel="0" collapsed="false">
      <c r="B766" s="5"/>
    </row>
    <row r="767" customFormat="false" ht="15.75" hidden="false" customHeight="true" outlineLevel="0" collapsed="false">
      <c r="B767" s="5"/>
    </row>
    <row r="768" customFormat="false" ht="15.75" hidden="false" customHeight="true" outlineLevel="0" collapsed="false">
      <c r="B768" s="5"/>
    </row>
    <row r="769" customFormat="false" ht="15.75" hidden="false" customHeight="true" outlineLevel="0" collapsed="false">
      <c r="B769" s="5"/>
    </row>
    <row r="770" customFormat="false" ht="15.75" hidden="false" customHeight="true" outlineLevel="0" collapsed="false">
      <c r="B770" s="5"/>
    </row>
    <row r="771" customFormat="false" ht="15.75" hidden="false" customHeight="true" outlineLevel="0" collapsed="false">
      <c r="B771" s="5"/>
    </row>
    <row r="772" customFormat="false" ht="15.75" hidden="false" customHeight="true" outlineLevel="0" collapsed="false">
      <c r="B772" s="5"/>
    </row>
    <row r="773" customFormat="false" ht="15.75" hidden="false" customHeight="true" outlineLevel="0" collapsed="false">
      <c r="B773" s="5"/>
    </row>
    <row r="774" customFormat="false" ht="15.75" hidden="false" customHeight="true" outlineLevel="0" collapsed="false">
      <c r="B774" s="5"/>
    </row>
    <row r="775" customFormat="false" ht="15.75" hidden="false" customHeight="true" outlineLevel="0" collapsed="false">
      <c r="B775" s="5"/>
    </row>
    <row r="776" customFormat="false" ht="15.75" hidden="false" customHeight="true" outlineLevel="0" collapsed="false">
      <c r="B776" s="5"/>
    </row>
    <row r="777" customFormat="false" ht="15.75" hidden="false" customHeight="true" outlineLevel="0" collapsed="false">
      <c r="B777" s="5"/>
    </row>
    <row r="778" customFormat="false" ht="15.75" hidden="false" customHeight="true" outlineLevel="0" collapsed="false">
      <c r="B778" s="5"/>
    </row>
    <row r="779" customFormat="false" ht="15.75" hidden="false" customHeight="true" outlineLevel="0" collapsed="false">
      <c r="B779" s="5"/>
    </row>
    <row r="780" customFormat="false" ht="15.75" hidden="false" customHeight="true" outlineLevel="0" collapsed="false">
      <c r="B780" s="5"/>
    </row>
    <row r="781" customFormat="false" ht="15.75" hidden="false" customHeight="true" outlineLevel="0" collapsed="false">
      <c r="B781" s="5"/>
    </row>
    <row r="782" customFormat="false" ht="15.75" hidden="false" customHeight="true" outlineLevel="0" collapsed="false">
      <c r="B782" s="5"/>
    </row>
    <row r="783" customFormat="false" ht="15.75" hidden="false" customHeight="true" outlineLevel="0" collapsed="false">
      <c r="B783" s="5"/>
    </row>
    <row r="784" customFormat="false" ht="15.75" hidden="false" customHeight="true" outlineLevel="0" collapsed="false">
      <c r="B784" s="5"/>
    </row>
    <row r="785" customFormat="false" ht="15.75" hidden="false" customHeight="true" outlineLevel="0" collapsed="false">
      <c r="B785" s="5"/>
    </row>
    <row r="786" customFormat="false" ht="15.75" hidden="false" customHeight="true" outlineLevel="0" collapsed="false">
      <c r="B786" s="5"/>
    </row>
    <row r="787" customFormat="false" ht="15.75" hidden="false" customHeight="true" outlineLevel="0" collapsed="false">
      <c r="B787" s="5"/>
    </row>
    <row r="788" customFormat="false" ht="15.75" hidden="false" customHeight="true" outlineLevel="0" collapsed="false">
      <c r="B788" s="5"/>
    </row>
    <row r="789" customFormat="false" ht="15.75" hidden="false" customHeight="true" outlineLevel="0" collapsed="false">
      <c r="B789" s="5"/>
    </row>
    <row r="790" customFormat="false" ht="15.75" hidden="false" customHeight="true" outlineLevel="0" collapsed="false">
      <c r="B790" s="5"/>
    </row>
    <row r="791" customFormat="false" ht="15.75" hidden="false" customHeight="true" outlineLevel="0" collapsed="false">
      <c r="B791" s="5"/>
    </row>
    <row r="792" customFormat="false" ht="15.75" hidden="false" customHeight="true" outlineLevel="0" collapsed="false">
      <c r="B792" s="5"/>
    </row>
    <row r="793" customFormat="false" ht="15.75" hidden="false" customHeight="true" outlineLevel="0" collapsed="false">
      <c r="B793" s="5"/>
    </row>
    <row r="794" customFormat="false" ht="15.75" hidden="false" customHeight="true" outlineLevel="0" collapsed="false">
      <c r="B794" s="5"/>
    </row>
    <row r="795" customFormat="false" ht="15.75" hidden="false" customHeight="true" outlineLevel="0" collapsed="false">
      <c r="B795" s="5"/>
    </row>
    <row r="796" customFormat="false" ht="15.75" hidden="false" customHeight="true" outlineLevel="0" collapsed="false">
      <c r="B796" s="5"/>
    </row>
    <row r="797" customFormat="false" ht="15.75" hidden="false" customHeight="true" outlineLevel="0" collapsed="false">
      <c r="B797" s="5"/>
    </row>
    <row r="798" customFormat="false" ht="15.75" hidden="false" customHeight="true" outlineLevel="0" collapsed="false">
      <c r="B798" s="5"/>
    </row>
    <row r="799" customFormat="false" ht="15.75" hidden="false" customHeight="true" outlineLevel="0" collapsed="false">
      <c r="B799" s="5"/>
    </row>
    <row r="800" customFormat="false" ht="15.75" hidden="false" customHeight="true" outlineLevel="0" collapsed="false">
      <c r="B800" s="5"/>
    </row>
    <row r="801" customFormat="false" ht="15.75" hidden="false" customHeight="true" outlineLevel="0" collapsed="false">
      <c r="B801" s="5"/>
    </row>
    <row r="802" customFormat="false" ht="15.75" hidden="false" customHeight="true" outlineLevel="0" collapsed="false">
      <c r="B802" s="5"/>
    </row>
    <row r="803" customFormat="false" ht="15.75" hidden="false" customHeight="true" outlineLevel="0" collapsed="false">
      <c r="B803" s="5"/>
    </row>
    <row r="804" customFormat="false" ht="15.75" hidden="false" customHeight="true" outlineLevel="0" collapsed="false">
      <c r="B804" s="5"/>
    </row>
    <row r="805" customFormat="false" ht="15.75" hidden="false" customHeight="true" outlineLevel="0" collapsed="false">
      <c r="B805" s="5"/>
    </row>
    <row r="806" customFormat="false" ht="15.75" hidden="false" customHeight="true" outlineLevel="0" collapsed="false">
      <c r="B806" s="5"/>
    </row>
    <row r="807" customFormat="false" ht="15.75" hidden="false" customHeight="true" outlineLevel="0" collapsed="false">
      <c r="B807" s="5"/>
    </row>
    <row r="808" customFormat="false" ht="15.75" hidden="false" customHeight="true" outlineLevel="0" collapsed="false">
      <c r="B808" s="5"/>
    </row>
    <row r="809" customFormat="false" ht="15.75" hidden="false" customHeight="true" outlineLevel="0" collapsed="false">
      <c r="B809" s="5"/>
    </row>
    <row r="810" customFormat="false" ht="15.75" hidden="false" customHeight="true" outlineLevel="0" collapsed="false">
      <c r="B810" s="5"/>
    </row>
    <row r="811" customFormat="false" ht="15.75" hidden="false" customHeight="true" outlineLevel="0" collapsed="false">
      <c r="B811" s="5"/>
    </row>
    <row r="812" customFormat="false" ht="15.75" hidden="false" customHeight="true" outlineLevel="0" collapsed="false">
      <c r="B812" s="5"/>
    </row>
    <row r="813" customFormat="false" ht="15.75" hidden="false" customHeight="true" outlineLevel="0" collapsed="false">
      <c r="B813" s="5"/>
    </row>
    <row r="814" customFormat="false" ht="15.75" hidden="false" customHeight="true" outlineLevel="0" collapsed="false">
      <c r="B814" s="5"/>
    </row>
    <row r="815" customFormat="false" ht="15.75" hidden="false" customHeight="true" outlineLevel="0" collapsed="false">
      <c r="B815" s="5"/>
    </row>
    <row r="816" customFormat="false" ht="15.75" hidden="false" customHeight="true" outlineLevel="0" collapsed="false">
      <c r="B816" s="5"/>
    </row>
    <row r="817" customFormat="false" ht="15.75" hidden="false" customHeight="true" outlineLevel="0" collapsed="false">
      <c r="B817" s="5"/>
    </row>
    <row r="818" customFormat="false" ht="15.75" hidden="false" customHeight="true" outlineLevel="0" collapsed="false">
      <c r="B818" s="5"/>
    </row>
    <row r="819" customFormat="false" ht="15.75" hidden="false" customHeight="true" outlineLevel="0" collapsed="false">
      <c r="B819" s="5"/>
    </row>
    <row r="820" customFormat="false" ht="15.75" hidden="false" customHeight="true" outlineLevel="0" collapsed="false">
      <c r="B820" s="5"/>
    </row>
    <row r="821" customFormat="false" ht="15.75" hidden="false" customHeight="true" outlineLevel="0" collapsed="false">
      <c r="B821" s="5"/>
    </row>
    <row r="822" customFormat="false" ht="15.75" hidden="false" customHeight="true" outlineLevel="0" collapsed="false">
      <c r="B822" s="5"/>
    </row>
    <row r="823" customFormat="false" ht="15.75" hidden="false" customHeight="true" outlineLevel="0" collapsed="false">
      <c r="B823" s="5"/>
    </row>
    <row r="824" customFormat="false" ht="15.75" hidden="false" customHeight="true" outlineLevel="0" collapsed="false">
      <c r="B824" s="5"/>
    </row>
    <row r="825" customFormat="false" ht="15.75" hidden="false" customHeight="true" outlineLevel="0" collapsed="false">
      <c r="B825" s="5"/>
    </row>
    <row r="826" customFormat="false" ht="15.75" hidden="false" customHeight="true" outlineLevel="0" collapsed="false">
      <c r="B826" s="5"/>
    </row>
    <row r="827" customFormat="false" ht="15.75" hidden="false" customHeight="true" outlineLevel="0" collapsed="false">
      <c r="B827" s="5"/>
    </row>
    <row r="828" customFormat="false" ht="15.75" hidden="false" customHeight="true" outlineLevel="0" collapsed="false">
      <c r="B828" s="5"/>
    </row>
    <row r="829" customFormat="false" ht="15.75" hidden="false" customHeight="true" outlineLevel="0" collapsed="false">
      <c r="B829" s="5"/>
    </row>
    <row r="830" customFormat="false" ht="15.75" hidden="false" customHeight="true" outlineLevel="0" collapsed="false">
      <c r="B830" s="5"/>
    </row>
    <row r="831" customFormat="false" ht="15.75" hidden="false" customHeight="true" outlineLevel="0" collapsed="false">
      <c r="B831" s="5"/>
    </row>
    <row r="832" customFormat="false" ht="15.75" hidden="false" customHeight="true" outlineLevel="0" collapsed="false">
      <c r="B832" s="5"/>
    </row>
    <row r="833" customFormat="false" ht="15.75" hidden="false" customHeight="true" outlineLevel="0" collapsed="false">
      <c r="B833" s="5"/>
    </row>
    <row r="834" customFormat="false" ht="15.75" hidden="false" customHeight="true" outlineLevel="0" collapsed="false">
      <c r="B834" s="5"/>
    </row>
    <row r="835" customFormat="false" ht="15.75" hidden="false" customHeight="true" outlineLevel="0" collapsed="false">
      <c r="B835" s="5"/>
    </row>
    <row r="836" customFormat="false" ht="15.75" hidden="false" customHeight="true" outlineLevel="0" collapsed="false">
      <c r="B836" s="5"/>
    </row>
    <row r="837" customFormat="false" ht="15.75" hidden="false" customHeight="true" outlineLevel="0" collapsed="false">
      <c r="B837" s="5"/>
    </row>
    <row r="838" customFormat="false" ht="15.75" hidden="false" customHeight="true" outlineLevel="0" collapsed="false">
      <c r="B838" s="5"/>
    </row>
    <row r="839" customFormat="false" ht="15.75" hidden="false" customHeight="true" outlineLevel="0" collapsed="false">
      <c r="B839" s="5"/>
    </row>
    <row r="840" customFormat="false" ht="15.75" hidden="false" customHeight="true" outlineLevel="0" collapsed="false">
      <c r="B840" s="5"/>
    </row>
    <row r="841" customFormat="false" ht="15.75" hidden="false" customHeight="true" outlineLevel="0" collapsed="false">
      <c r="B841" s="5"/>
    </row>
    <row r="842" customFormat="false" ht="15.75" hidden="false" customHeight="true" outlineLevel="0" collapsed="false">
      <c r="B842" s="5"/>
    </row>
    <row r="843" customFormat="false" ht="15.75" hidden="false" customHeight="true" outlineLevel="0" collapsed="false">
      <c r="B843" s="5"/>
    </row>
    <row r="844" customFormat="false" ht="15.75" hidden="false" customHeight="true" outlineLevel="0" collapsed="false">
      <c r="B844" s="5"/>
    </row>
    <row r="845" customFormat="false" ht="15.75" hidden="false" customHeight="true" outlineLevel="0" collapsed="false">
      <c r="B845" s="5"/>
    </row>
    <row r="846" customFormat="false" ht="15.75" hidden="false" customHeight="true" outlineLevel="0" collapsed="false">
      <c r="B846" s="5"/>
    </row>
    <row r="847" customFormat="false" ht="15.75" hidden="false" customHeight="true" outlineLevel="0" collapsed="false">
      <c r="B847" s="5"/>
    </row>
    <row r="848" customFormat="false" ht="15.75" hidden="false" customHeight="true" outlineLevel="0" collapsed="false">
      <c r="B848" s="5"/>
    </row>
    <row r="849" customFormat="false" ht="15.75" hidden="false" customHeight="true" outlineLevel="0" collapsed="false">
      <c r="B849" s="5"/>
    </row>
    <row r="850" customFormat="false" ht="15.75" hidden="false" customHeight="true" outlineLevel="0" collapsed="false">
      <c r="B850" s="5"/>
    </row>
    <row r="851" customFormat="false" ht="15.75" hidden="false" customHeight="true" outlineLevel="0" collapsed="false">
      <c r="B851" s="5"/>
    </row>
    <row r="852" customFormat="false" ht="15.75" hidden="false" customHeight="true" outlineLevel="0" collapsed="false">
      <c r="B852" s="5"/>
    </row>
    <row r="853" customFormat="false" ht="15.75" hidden="false" customHeight="true" outlineLevel="0" collapsed="false">
      <c r="B853" s="5"/>
    </row>
    <row r="854" customFormat="false" ht="15.75" hidden="false" customHeight="true" outlineLevel="0" collapsed="false">
      <c r="B854" s="5"/>
    </row>
    <row r="855" customFormat="false" ht="15.75" hidden="false" customHeight="true" outlineLevel="0" collapsed="false">
      <c r="B855" s="5"/>
    </row>
    <row r="856" customFormat="false" ht="15.75" hidden="false" customHeight="true" outlineLevel="0" collapsed="false">
      <c r="B856" s="5"/>
    </row>
    <row r="857" customFormat="false" ht="15.75" hidden="false" customHeight="true" outlineLevel="0" collapsed="false">
      <c r="B857" s="5"/>
    </row>
    <row r="858" customFormat="false" ht="15.75" hidden="false" customHeight="true" outlineLevel="0" collapsed="false">
      <c r="B858" s="5"/>
    </row>
    <row r="859" customFormat="false" ht="15.75" hidden="false" customHeight="true" outlineLevel="0" collapsed="false">
      <c r="B859" s="5"/>
    </row>
    <row r="860" customFormat="false" ht="15.75" hidden="false" customHeight="true" outlineLevel="0" collapsed="false">
      <c r="B860" s="5"/>
    </row>
    <row r="861" customFormat="false" ht="15.75" hidden="false" customHeight="true" outlineLevel="0" collapsed="false">
      <c r="B861" s="5"/>
    </row>
    <row r="862" customFormat="false" ht="15.75" hidden="false" customHeight="true" outlineLevel="0" collapsed="false">
      <c r="B862" s="5"/>
    </row>
    <row r="863" customFormat="false" ht="15.75" hidden="false" customHeight="true" outlineLevel="0" collapsed="false">
      <c r="B863" s="5"/>
    </row>
    <row r="864" customFormat="false" ht="15.75" hidden="false" customHeight="true" outlineLevel="0" collapsed="false">
      <c r="B864" s="5"/>
    </row>
    <row r="865" customFormat="false" ht="15.75" hidden="false" customHeight="true" outlineLevel="0" collapsed="false">
      <c r="B865" s="5"/>
    </row>
    <row r="866" customFormat="false" ht="15.75" hidden="false" customHeight="true" outlineLevel="0" collapsed="false">
      <c r="B866" s="5"/>
    </row>
    <row r="867" customFormat="false" ht="15.75" hidden="false" customHeight="true" outlineLevel="0" collapsed="false">
      <c r="B867" s="5"/>
    </row>
    <row r="868" customFormat="false" ht="15.75" hidden="false" customHeight="true" outlineLevel="0" collapsed="false">
      <c r="B868" s="5"/>
    </row>
    <row r="869" customFormat="false" ht="15.75" hidden="false" customHeight="true" outlineLevel="0" collapsed="false">
      <c r="B869" s="5"/>
    </row>
    <row r="870" customFormat="false" ht="15.75" hidden="false" customHeight="true" outlineLevel="0" collapsed="false">
      <c r="B870" s="5"/>
    </row>
    <row r="871" customFormat="false" ht="15.75" hidden="false" customHeight="true" outlineLevel="0" collapsed="false">
      <c r="B871" s="5"/>
    </row>
    <row r="872" customFormat="false" ht="15.75" hidden="false" customHeight="true" outlineLevel="0" collapsed="false">
      <c r="B872" s="5"/>
    </row>
    <row r="873" customFormat="false" ht="15.75" hidden="false" customHeight="true" outlineLevel="0" collapsed="false">
      <c r="B873" s="5"/>
    </row>
    <row r="874" customFormat="false" ht="15.75" hidden="false" customHeight="true" outlineLevel="0" collapsed="false">
      <c r="B874" s="5"/>
    </row>
    <row r="875" customFormat="false" ht="15.75" hidden="false" customHeight="true" outlineLevel="0" collapsed="false">
      <c r="B875" s="5"/>
    </row>
    <row r="876" customFormat="false" ht="15.75" hidden="false" customHeight="true" outlineLevel="0" collapsed="false">
      <c r="B876" s="5"/>
    </row>
    <row r="877" customFormat="false" ht="15.75" hidden="false" customHeight="true" outlineLevel="0" collapsed="false">
      <c r="B877" s="5"/>
    </row>
    <row r="878" customFormat="false" ht="15.75" hidden="false" customHeight="true" outlineLevel="0" collapsed="false">
      <c r="B878" s="5"/>
    </row>
    <row r="879" customFormat="false" ht="15.75" hidden="false" customHeight="true" outlineLevel="0" collapsed="false">
      <c r="B879" s="5"/>
    </row>
    <row r="880" customFormat="false" ht="15.75" hidden="false" customHeight="true" outlineLevel="0" collapsed="false">
      <c r="B880" s="5"/>
    </row>
    <row r="881" customFormat="false" ht="15.75" hidden="false" customHeight="true" outlineLevel="0" collapsed="false">
      <c r="B881" s="5"/>
    </row>
    <row r="882" customFormat="false" ht="15.75" hidden="false" customHeight="true" outlineLevel="0" collapsed="false">
      <c r="B882" s="5"/>
    </row>
    <row r="883" customFormat="false" ht="15.75" hidden="false" customHeight="true" outlineLevel="0" collapsed="false">
      <c r="B883" s="5"/>
    </row>
    <row r="884" customFormat="false" ht="15.75" hidden="false" customHeight="true" outlineLevel="0" collapsed="false">
      <c r="B884" s="5"/>
    </row>
    <row r="885" customFormat="false" ht="15.75" hidden="false" customHeight="true" outlineLevel="0" collapsed="false">
      <c r="B885" s="5"/>
    </row>
    <row r="886" customFormat="false" ht="15.75" hidden="false" customHeight="true" outlineLevel="0" collapsed="false">
      <c r="B886" s="5"/>
    </row>
    <row r="887" customFormat="false" ht="15.75" hidden="false" customHeight="true" outlineLevel="0" collapsed="false">
      <c r="B887" s="5"/>
    </row>
    <row r="888" customFormat="false" ht="15.75" hidden="false" customHeight="true" outlineLevel="0" collapsed="false">
      <c r="B888" s="5"/>
    </row>
    <row r="889" customFormat="false" ht="15.75" hidden="false" customHeight="true" outlineLevel="0" collapsed="false">
      <c r="B889" s="5"/>
    </row>
    <row r="890" customFormat="false" ht="15.75" hidden="false" customHeight="true" outlineLevel="0" collapsed="false">
      <c r="B890" s="5"/>
    </row>
    <row r="891" customFormat="false" ht="15.75" hidden="false" customHeight="true" outlineLevel="0" collapsed="false">
      <c r="B891" s="5"/>
    </row>
    <row r="892" customFormat="false" ht="15.75" hidden="false" customHeight="true" outlineLevel="0" collapsed="false">
      <c r="B892" s="5"/>
    </row>
    <row r="893" customFormat="false" ht="15.75" hidden="false" customHeight="true" outlineLevel="0" collapsed="false">
      <c r="B893" s="5"/>
    </row>
    <row r="894" customFormat="false" ht="15.75" hidden="false" customHeight="true" outlineLevel="0" collapsed="false">
      <c r="B894" s="5"/>
    </row>
    <row r="895" customFormat="false" ht="15.75" hidden="false" customHeight="true" outlineLevel="0" collapsed="false">
      <c r="B895" s="5"/>
    </row>
    <row r="896" customFormat="false" ht="15.75" hidden="false" customHeight="true" outlineLevel="0" collapsed="false">
      <c r="B896" s="5"/>
    </row>
    <row r="897" customFormat="false" ht="15.75" hidden="false" customHeight="true" outlineLevel="0" collapsed="false">
      <c r="B897" s="5"/>
    </row>
    <row r="898" customFormat="false" ht="15.75" hidden="false" customHeight="true" outlineLevel="0" collapsed="false">
      <c r="B898" s="5"/>
    </row>
    <row r="899" customFormat="false" ht="15.75" hidden="false" customHeight="true" outlineLevel="0" collapsed="false">
      <c r="B899" s="5"/>
    </row>
    <row r="900" customFormat="false" ht="15.75" hidden="false" customHeight="true" outlineLevel="0" collapsed="false">
      <c r="B900" s="5"/>
    </row>
    <row r="901" customFormat="false" ht="15.75" hidden="false" customHeight="true" outlineLevel="0" collapsed="false">
      <c r="B901" s="5"/>
    </row>
    <row r="902" customFormat="false" ht="15.75" hidden="false" customHeight="true" outlineLevel="0" collapsed="false">
      <c r="B902" s="5"/>
    </row>
    <row r="903" customFormat="false" ht="15.75" hidden="false" customHeight="true" outlineLevel="0" collapsed="false">
      <c r="B903" s="5"/>
    </row>
    <row r="904" customFormat="false" ht="15.75" hidden="false" customHeight="true" outlineLevel="0" collapsed="false">
      <c r="B904" s="5"/>
    </row>
    <row r="905" customFormat="false" ht="15.75" hidden="false" customHeight="true" outlineLevel="0" collapsed="false">
      <c r="B905" s="5"/>
    </row>
    <row r="906" customFormat="false" ht="15.75" hidden="false" customHeight="true" outlineLevel="0" collapsed="false">
      <c r="B906" s="5"/>
    </row>
    <row r="907" customFormat="false" ht="15.75" hidden="false" customHeight="true" outlineLevel="0" collapsed="false">
      <c r="B907" s="5"/>
    </row>
    <row r="908" customFormat="false" ht="15.75" hidden="false" customHeight="true" outlineLevel="0" collapsed="false">
      <c r="B908" s="5"/>
    </row>
    <row r="909" customFormat="false" ht="15.75" hidden="false" customHeight="true" outlineLevel="0" collapsed="false">
      <c r="B909" s="5"/>
    </row>
    <row r="910" customFormat="false" ht="15.75" hidden="false" customHeight="true" outlineLevel="0" collapsed="false">
      <c r="B910" s="5"/>
    </row>
    <row r="911" customFormat="false" ht="15.75" hidden="false" customHeight="true" outlineLevel="0" collapsed="false">
      <c r="B911" s="5"/>
    </row>
    <row r="912" customFormat="false" ht="15.75" hidden="false" customHeight="true" outlineLevel="0" collapsed="false">
      <c r="B912" s="5"/>
    </row>
    <row r="913" customFormat="false" ht="15.75" hidden="false" customHeight="true" outlineLevel="0" collapsed="false">
      <c r="B913" s="5"/>
    </row>
    <row r="914" customFormat="false" ht="15.75" hidden="false" customHeight="true" outlineLevel="0" collapsed="false">
      <c r="B914" s="5"/>
    </row>
    <row r="915" customFormat="false" ht="15.75" hidden="false" customHeight="true" outlineLevel="0" collapsed="false">
      <c r="B915" s="5"/>
    </row>
    <row r="916" customFormat="false" ht="15.75" hidden="false" customHeight="true" outlineLevel="0" collapsed="false">
      <c r="B916" s="5"/>
    </row>
    <row r="917" customFormat="false" ht="15.75" hidden="false" customHeight="true" outlineLevel="0" collapsed="false">
      <c r="B917" s="5"/>
    </row>
    <row r="918" customFormat="false" ht="15.75" hidden="false" customHeight="true" outlineLevel="0" collapsed="false">
      <c r="B918" s="5"/>
    </row>
    <row r="919" customFormat="false" ht="15.75" hidden="false" customHeight="true" outlineLevel="0" collapsed="false">
      <c r="B919" s="5"/>
    </row>
    <row r="920" customFormat="false" ht="15.75" hidden="false" customHeight="true" outlineLevel="0" collapsed="false">
      <c r="B920" s="5"/>
    </row>
    <row r="921" customFormat="false" ht="15.75" hidden="false" customHeight="true" outlineLevel="0" collapsed="false">
      <c r="B921" s="5"/>
    </row>
    <row r="922" customFormat="false" ht="15.75" hidden="false" customHeight="true" outlineLevel="0" collapsed="false">
      <c r="B922" s="5"/>
    </row>
    <row r="923" customFormat="false" ht="15.75" hidden="false" customHeight="true" outlineLevel="0" collapsed="false">
      <c r="B923" s="5"/>
    </row>
    <row r="924" customFormat="false" ht="15.75" hidden="false" customHeight="true" outlineLevel="0" collapsed="false">
      <c r="B924" s="5"/>
    </row>
    <row r="925" customFormat="false" ht="15.75" hidden="false" customHeight="true" outlineLevel="0" collapsed="false">
      <c r="B925" s="5"/>
    </row>
    <row r="926" customFormat="false" ht="15.75" hidden="false" customHeight="true" outlineLevel="0" collapsed="false">
      <c r="B926" s="5"/>
    </row>
    <row r="927" customFormat="false" ht="15.75" hidden="false" customHeight="true" outlineLevel="0" collapsed="false">
      <c r="B927" s="5"/>
    </row>
    <row r="928" customFormat="false" ht="15.75" hidden="false" customHeight="true" outlineLevel="0" collapsed="false">
      <c r="B928" s="5"/>
    </row>
    <row r="929" customFormat="false" ht="15.75" hidden="false" customHeight="true" outlineLevel="0" collapsed="false">
      <c r="B929" s="5"/>
    </row>
    <row r="930" customFormat="false" ht="15.75" hidden="false" customHeight="true" outlineLevel="0" collapsed="false">
      <c r="B930" s="5"/>
    </row>
    <row r="931" customFormat="false" ht="15.75" hidden="false" customHeight="true" outlineLevel="0" collapsed="false">
      <c r="B931" s="5"/>
    </row>
    <row r="932" customFormat="false" ht="15.75" hidden="false" customHeight="true" outlineLevel="0" collapsed="false">
      <c r="B932" s="5"/>
    </row>
    <row r="933" customFormat="false" ht="15.75" hidden="false" customHeight="true" outlineLevel="0" collapsed="false">
      <c r="B933" s="5"/>
    </row>
    <row r="934" customFormat="false" ht="15.75" hidden="false" customHeight="true" outlineLevel="0" collapsed="false">
      <c r="B934" s="5"/>
    </row>
    <row r="935" customFormat="false" ht="15.75" hidden="false" customHeight="true" outlineLevel="0" collapsed="false">
      <c r="B935" s="5"/>
    </row>
    <row r="936" customFormat="false" ht="15.75" hidden="false" customHeight="true" outlineLevel="0" collapsed="false">
      <c r="B936" s="5"/>
    </row>
    <row r="937" customFormat="false" ht="15.75" hidden="false" customHeight="true" outlineLevel="0" collapsed="false">
      <c r="B937" s="5"/>
    </row>
    <row r="938" customFormat="false" ht="15.75" hidden="false" customHeight="true" outlineLevel="0" collapsed="false">
      <c r="B938" s="5"/>
    </row>
    <row r="939" customFormat="false" ht="15.75" hidden="false" customHeight="true" outlineLevel="0" collapsed="false">
      <c r="B939" s="5"/>
    </row>
    <row r="940" customFormat="false" ht="15.75" hidden="false" customHeight="true" outlineLevel="0" collapsed="false">
      <c r="B940" s="5"/>
    </row>
    <row r="941" customFormat="false" ht="15.75" hidden="false" customHeight="true" outlineLevel="0" collapsed="false">
      <c r="B941" s="5"/>
    </row>
    <row r="942" customFormat="false" ht="15.75" hidden="false" customHeight="true" outlineLevel="0" collapsed="false">
      <c r="B942" s="5"/>
    </row>
    <row r="943" customFormat="false" ht="15.75" hidden="false" customHeight="true" outlineLevel="0" collapsed="false">
      <c r="B943" s="5"/>
    </row>
    <row r="944" customFormat="false" ht="15.75" hidden="false" customHeight="true" outlineLevel="0" collapsed="false">
      <c r="B944" s="5"/>
    </row>
    <row r="945" customFormat="false" ht="15.75" hidden="false" customHeight="true" outlineLevel="0" collapsed="false">
      <c r="B945" s="5"/>
    </row>
    <row r="946" customFormat="false" ht="15.75" hidden="false" customHeight="true" outlineLevel="0" collapsed="false">
      <c r="B946" s="5"/>
    </row>
    <row r="947" customFormat="false" ht="15.75" hidden="false" customHeight="true" outlineLevel="0" collapsed="false">
      <c r="B947" s="5"/>
    </row>
    <row r="948" customFormat="false" ht="15.75" hidden="false" customHeight="true" outlineLevel="0" collapsed="false">
      <c r="B948" s="5"/>
    </row>
    <row r="949" customFormat="false" ht="15.75" hidden="false" customHeight="true" outlineLevel="0" collapsed="false">
      <c r="B949" s="5"/>
    </row>
    <row r="950" customFormat="false" ht="15.75" hidden="false" customHeight="true" outlineLevel="0" collapsed="false">
      <c r="B950" s="5"/>
    </row>
    <row r="951" customFormat="false" ht="15.75" hidden="false" customHeight="true" outlineLevel="0" collapsed="false">
      <c r="B951" s="5"/>
    </row>
    <row r="952" customFormat="false" ht="15.75" hidden="false" customHeight="true" outlineLevel="0" collapsed="false">
      <c r="B952" s="5"/>
    </row>
    <row r="953" customFormat="false" ht="15.75" hidden="false" customHeight="true" outlineLevel="0" collapsed="false">
      <c r="B953" s="5"/>
    </row>
    <row r="954" customFormat="false" ht="15.75" hidden="false" customHeight="true" outlineLevel="0" collapsed="false">
      <c r="B954" s="5"/>
    </row>
    <row r="955" customFormat="false" ht="15.75" hidden="false" customHeight="true" outlineLevel="0" collapsed="false">
      <c r="B955" s="5"/>
    </row>
    <row r="956" customFormat="false" ht="15.75" hidden="false" customHeight="true" outlineLevel="0" collapsed="false">
      <c r="B956" s="5"/>
    </row>
    <row r="957" customFormat="false" ht="15.75" hidden="false" customHeight="true" outlineLevel="0" collapsed="false">
      <c r="B957" s="5"/>
    </row>
    <row r="958" customFormat="false" ht="15.75" hidden="false" customHeight="true" outlineLevel="0" collapsed="false">
      <c r="B958" s="5"/>
    </row>
    <row r="959" customFormat="false" ht="15.75" hidden="false" customHeight="true" outlineLevel="0" collapsed="false">
      <c r="B959" s="5"/>
    </row>
    <row r="960" customFormat="false" ht="15.75" hidden="false" customHeight="true" outlineLevel="0" collapsed="false">
      <c r="B960" s="5"/>
    </row>
    <row r="961" customFormat="false" ht="15.75" hidden="false" customHeight="true" outlineLevel="0" collapsed="false">
      <c r="B961" s="5"/>
    </row>
    <row r="962" customFormat="false" ht="15.75" hidden="false" customHeight="true" outlineLevel="0" collapsed="false">
      <c r="B962" s="5"/>
    </row>
    <row r="963" customFormat="false" ht="15.75" hidden="false" customHeight="true" outlineLevel="0" collapsed="false">
      <c r="B963" s="5"/>
    </row>
    <row r="964" customFormat="false" ht="15.75" hidden="false" customHeight="true" outlineLevel="0" collapsed="false">
      <c r="B964" s="5"/>
    </row>
    <row r="965" customFormat="false" ht="15.75" hidden="false" customHeight="true" outlineLevel="0" collapsed="false">
      <c r="B965" s="5"/>
    </row>
    <row r="966" customFormat="false" ht="15.75" hidden="false" customHeight="true" outlineLevel="0" collapsed="false">
      <c r="B966" s="5"/>
    </row>
    <row r="967" customFormat="false" ht="15.75" hidden="false" customHeight="true" outlineLevel="0" collapsed="false">
      <c r="B967" s="5"/>
    </row>
    <row r="968" customFormat="false" ht="15.75" hidden="false" customHeight="true" outlineLevel="0" collapsed="false">
      <c r="B968" s="5"/>
    </row>
    <row r="969" customFormat="false" ht="15.75" hidden="false" customHeight="true" outlineLevel="0" collapsed="false">
      <c r="B969" s="5"/>
    </row>
    <row r="970" customFormat="false" ht="15.75" hidden="false" customHeight="true" outlineLevel="0" collapsed="false">
      <c r="B970" s="5"/>
    </row>
    <row r="971" customFormat="false" ht="15.75" hidden="false" customHeight="true" outlineLevel="0" collapsed="false">
      <c r="B971" s="5"/>
    </row>
    <row r="972" customFormat="false" ht="15.75" hidden="false" customHeight="true" outlineLevel="0" collapsed="false">
      <c r="B972" s="5"/>
    </row>
    <row r="973" customFormat="false" ht="15.75" hidden="false" customHeight="true" outlineLevel="0" collapsed="false">
      <c r="B973" s="5"/>
    </row>
    <row r="974" customFormat="false" ht="15.75" hidden="false" customHeight="true" outlineLevel="0" collapsed="false">
      <c r="B974" s="5"/>
    </row>
    <row r="975" customFormat="false" ht="15.75" hidden="false" customHeight="true" outlineLevel="0" collapsed="false">
      <c r="B975" s="5"/>
    </row>
    <row r="976" customFormat="false" ht="15.75" hidden="false" customHeight="true" outlineLevel="0" collapsed="false">
      <c r="B976" s="5"/>
    </row>
    <row r="977" customFormat="false" ht="15.75" hidden="false" customHeight="true" outlineLevel="0" collapsed="false">
      <c r="B977" s="5"/>
    </row>
    <row r="978" customFormat="false" ht="15.75" hidden="false" customHeight="true" outlineLevel="0" collapsed="false">
      <c r="B978" s="5"/>
    </row>
    <row r="979" customFormat="false" ht="15.75" hidden="false" customHeight="true" outlineLevel="0" collapsed="false">
      <c r="B979" s="5"/>
    </row>
    <row r="980" customFormat="false" ht="15.75" hidden="false" customHeight="true" outlineLevel="0" collapsed="false">
      <c r="B980" s="5"/>
    </row>
    <row r="981" customFormat="false" ht="15.75" hidden="false" customHeight="true" outlineLevel="0" collapsed="false">
      <c r="B981" s="5"/>
    </row>
    <row r="982" customFormat="false" ht="15.75" hidden="false" customHeight="true" outlineLevel="0" collapsed="false">
      <c r="B982" s="5"/>
    </row>
    <row r="983" customFormat="false" ht="15.75" hidden="false" customHeight="true" outlineLevel="0" collapsed="false">
      <c r="B983" s="5"/>
    </row>
    <row r="984" customFormat="false" ht="15.75" hidden="false" customHeight="true" outlineLevel="0" collapsed="false">
      <c r="B984" s="5"/>
    </row>
    <row r="985" customFormat="false" ht="15.75" hidden="false" customHeight="true" outlineLevel="0" collapsed="false">
      <c r="B985" s="5"/>
    </row>
    <row r="986" customFormat="false" ht="15.75" hidden="false" customHeight="true" outlineLevel="0" collapsed="false">
      <c r="B986" s="5"/>
    </row>
    <row r="987" customFormat="false" ht="15.75" hidden="false" customHeight="true" outlineLevel="0" collapsed="false">
      <c r="B987" s="5"/>
    </row>
    <row r="988" customFormat="false" ht="15.75" hidden="false" customHeight="true" outlineLevel="0" collapsed="false">
      <c r="B988" s="5"/>
    </row>
    <row r="989" customFormat="false" ht="15.75" hidden="false" customHeight="true" outlineLevel="0" collapsed="false">
      <c r="B989" s="5"/>
    </row>
    <row r="990" customFormat="false" ht="15.75" hidden="false" customHeight="true" outlineLevel="0" collapsed="false">
      <c r="B990" s="5"/>
    </row>
    <row r="991" customFormat="false" ht="15.75" hidden="false" customHeight="true" outlineLevel="0" collapsed="false">
      <c r="B991" s="5"/>
    </row>
    <row r="992" customFormat="false" ht="15.75" hidden="false" customHeight="true" outlineLevel="0" collapsed="false">
      <c r="B992" s="5"/>
    </row>
    <row r="993" customFormat="false" ht="15.75" hidden="false" customHeight="true" outlineLevel="0" collapsed="false">
      <c r="B993" s="5"/>
    </row>
    <row r="994" customFormat="false" ht="15.75" hidden="false" customHeight="true" outlineLevel="0" collapsed="false">
      <c r="B994" s="5"/>
    </row>
    <row r="995" customFormat="false" ht="15.75" hidden="false" customHeight="true" outlineLevel="0" collapsed="false">
      <c r="B995" s="5"/>
    </row>
    <row r="996" customFormat="false" ht="15.75" hidden="false" customHeight="true" outlineLevel="0" collapsed="false">
      <c r="B996" s="5"/>
    </row>
    <row r="997" customFormat="false" ht="15.75" hidden="false" customHeight="true" outlineLevel="0" collapsed="false">
      <c r="B997" s="5"/>
    </row>
    <row r="998" customFormat="false" ht="15.75" hidden="false" customHeight="true" outlineLevel="0" collapsed="false">
      <c r="B998" s="5"/>
    </row>
    <row r="999" customFormat="false" ht="15.75" hidden="false" customHeight="true" outlineLevel="0" collapsed="false">
      <c r="B999" s="5"/>
    </row>
    <row r="1000" customFormat="false" ht="15.75" hidden="false" customHeight="true" outlineLevel="0" collapsed="false">
      <c r="B1000" s="5"/>
    </row>
  </sheetData>
  <mergeCells count="1">
    <mergeCell ref="A1:B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18.29"/>
    <col collapsed="false" customWidth="true" hidden="false" outlineLevel="0" max="2" min="2" style="0" width="8.15"/>
    <col collapsed="false" customWidth="true" hidden="false" outlineLevel="0" max="3" min="3" style="0" width="17.15"/>
    <col collapsed="false" customWidth="true" hidden="false" outlineLevel="0" max="4" min="4" style="0" width="6.85"/>
    <col collapsed="false" customWidth="true" hidden="false" outlineLevel="0" max="5" min="5" style="0" width="6.43"/>
    <col collapsed="false" customWidth="true" hidden="false" outlineLevel="0" max="6" min="6" style="0" width="6.85"/>
    <col collapsed="false" customWidth="true" hidden="false" outlineLevel="0" max="13" min="7" style="0" width="8.71"/>
    <col collapsed="false" customWidth="true" hidden="false" outlineLevel="0" max="14" min="14" style="0" width="13.15"/>
    <col collapsed="false" customWidth="true" hidden="false" outlineLevel="0" max="15" min="15" style="0" width="8.71"/>
    <col collapsed="false" customWidth="true" hidden="false" outlineLevel="0" max="16" min="16" style="0" width="11.29"/>
    <col collapsed="false" customWidth="true" hidden="false" outlineLevel="0" max="26" min="17" style="0" width="8.71"/>
  </cols>
  <sheetData>
    <row r="1" customFormat="false" ht="15" hidden="false" customHeight="false" outlineLevel="0" collapsed="false">
      <c r="A1" s="6" t="s">
        <v>7</v>
      </c>
      <c r="B1" s="6" t="s">
        <v>8</v>
      </c>
      <c r="C1" s="6" t="s">
        <v>9</v>
      </c>
      <c r="D1" s="6" t="s">
        <v>10</v>
      </c>
      <c r="E1" s="6" t="s">
        <v>11</v>
      </c>
      <c r="N1" s="6" t="s">
        <v>7</v>
      </c>
      <c r="O1" s="6" t="s">
        <v>8</v>
      </c>
      <c r="P1" s="6" t="s">
        <v>9</v>
      </c>
      <c r="Q1" s="6" t="s">
        <v>10</v>
      </c>
      <c r="R1" s="6" t="s">
        <v>11</v>
      </c>
    </row>
    <row r="2" customFormat="false" ht="15" hidden="false" customHeight="false" outlineLevel="0" collapsed="false">
      <c r="A2" s="6" t="s">
        <v>12</v>
      </c>
      <c r="B2" s="7" t="n">
        <f aca="false">('Ver-Iniciação1'!$G$5/SUM('Ver-Iniciação1'!$G$5:$J$5))</f>
        <v>0</v>
      </c>
      <c r="C2" s="7" t="n">
        <f aca="false">('Ver-Iniciação1'!$H$5/SUM('Ver-Iniciação1'!$G$5:$J$5))</f>
        <v>0</v>
      </c>
      <c r="D2" s="7" t="n">
        <f aca="false">('Ver-Iniciação1'!$I$5/SUM('Ver-Iniciação1'!$G$5:$J$5))</f>
        <v>0</v>
      </c>
      <c r="E2" s="7" t="n">
        <f aca="false">('Ver-Iniciação1'!$J$5/SUM('Ver-Iniciação1'!$G$5:$J$5))</f>
        <v>1</v>
      </c>
      <c r="N2" s="6" t="s">
        <v>13</v>
      </c>
      <c r="O2" s="7" t="e">
        <f aca="false">('Ver-Elaboração1'!$G$6/SUM('Ver-Elaboração1'!$G$6:$J$6))</f>
        <v>#DIV/0!</v>
      </c>
      <c r="P2" s="7" t="e">
        <f aca="false">('Ver-Elaboração1'!$H$6/SUM('Ver-Elaboração1'!$G$6:$J$6))</f>
        <v>#DIV/0!</v>
      </c>
      <c r="Q2" s="7" t="e">
        <f aca="false">('Ver-Elaboração1'!$I$6/SUM('Ver-Elaboração1'!$G$6:$J$6))</f>
        <v>#DIV/0!</v>
      </c>
      <c r="R2" s="7" t="e">
        <f aca="false">('Ver-Elaboração1'!$J$6/SUM('Ver-Elaboração1'!$G$6:$J$6))</f>
        <v>#DIV/0!</v>
      </c>
    </row>
    <row r="3" customFormat="false" ht="15" hidden="false" customHeight="false" outlineLevel="0" collapsed="false">
      <c r="A3" s="6" t="s">
        <v>13</v>
      </c>
      <c r="B3" s="7" t="n">
        <f aca="false">('Ver-Iniciação1'!$G$7/SUM('Ver-Iniciação1'!$G$7:$J$7))</f>
        <v>1</v>
      </c>
      <c r="C3" s="7" t="n">
        <f aca="false">('Ver-Iniciação1'!$H$7/SUM('Ver-Iniciação1'!$G$7:$J$7))</f>
        <v>0</v>
      </c>
      <c r="D3" s="7" t="n">
        <f aca="false">('Ver-Iniciação1'!$I$7/SUM('Ver-Iniciação1'!$G$7:$J$7))</f>
        <v>0</v>
      </c>
      <c r="E3" s="7" t="n">
        <f aca="false">('Ver-Iniciação1'!$J$7/SUM('Ver-Iniciação1'!$G$7:$J$7))</f>
        <v>0</v>
      </c>
      <c r="N3" s="6" t="s">
        <v>14</v>
      </c>
      <c r="O3" s="7" t="e">
        <f aca="false">('Ver-Elaboração1'!$G$8/SUM('Ver-Elaboração1'!$G$8:$J$8))</f>
        <v>#DIV/0!</v>
      </c>
      <c r="P3" s="7" t="e">
        <f aca="false">('Ver-Elaboração1'!$H$8/SUM('Ver-Elaboração1'!$G$8:$J$8))</f>
        <v>#DIV/0!</v>
      </c>
      <c r="Q3" s="7" t="e">
        <f aca="false">('Ver-Elaboração1'!$I$8/SUM('Ver-Elaboração1'!$G$8:$J$8))</f>
        <v>#DIV/0!</v>
      </c>
      <c r="R3" s="7" t="e">
        <f aca="false">('Ver-Elaboração1'!$J$8/SUM('Ver-Elaboração1'!$G$8:$J$8))</f>
        <v>#DIV/0!</v>
      </c>
    </row>
    <row r="4" customFormat="false" ht="15" hidden="false" customHeight="false" outlineLevel="0" collapsed="false">
      <c r="A4" s="6" t="s">
        <v>14</v>
      </c>
      <c r="B4" s="7" t="n">
        <f aca="false">('Ver-Iniciação1'!$G$13/SUM('Ver-Iniciação1'!$G$13:$J$13))</f>
        <v>0.8</v>
      </c>
      <c r="C4" s="7" t="n">
        <f aca="false">('Ver-Iniciação1'!$H$13/SUM('Ver-Iniciação1'!$G$13:$J$13))</f>
        <v>0</v>
      </c>
      <c r="D4" s="7" t="n">
        <f aca="false">('Ver-Iniciação1'!$I$13/SUM('Ver-Iniciação1'!$G$13:$J$13))</f>
        <v>0</v>
      </c>
      <c r="E4" s="7" t="n">
        <f aca="false">('Ver-Iniciação1'!$J$13/SUM('Ver-Iniciação1'!$G$13:$J$13))</f>
        <v>0.2</v>
      </c>
      <c r="N4" s="6" t="s">
        <v>15</v>
      </c>
      <c r="O4" s="7" t="e">
        <f aca="false">('Ver-Elaboração1'!$G$11/SUM('Ver-Elaboração1'!$G$11:$J$11))</f>
        <v>#DIV/0!</v>
      </c>
      <c r="P4" s="7" t="e">
        <f aca="false">('Ver-Elaboração1'!$H$11/SUM('Ver-Elaboração1'!$G$11:$J$11))</f>
        <v>#DIV/0!</v>
      </c>
      <c r="Q4" s="7" t="e">
        <f aca="false">('Ver-Elaboração1'!$I$11/SUM('Ver-Elaboração1'!$G$11:$J$11))</f>
        <v>#DIV/0!</v>
      </c>
      <c r="R4" s="7" t="e">
        <f aca="false">('Ver-Elaboração1'!$J$11/SUM('Ver-Elaboração1'!$G$11:$J$11))</f>
        <v>#DIV/0!</v>
      </c>
    </row>
    <row r="5" customFormat="false" ht="15" hidden="false" customHeight="false" outlineLevel="0" collapsed="false">
      <c r="A5" s="6" t="s">
        <v>15</v>
      </c>
      <c r="B5" s="7" t="n">
        <f aca="false">('Ver-Iniciação1'!$G$19/SUM('Ver-Iniciação1'!$G$19:$J$19))</f>
        <v>0</v>
      </c>
      <c r="C5" s="7" t="n">
        <f aca="false">('Ver-Iniciação1'!$H$19/SUM('Ver-Iniciação1'!$G$19:$J$19))</f>
        <v>0</v>
      </c>
      <c r="D5" s="7" t="n">
        <f aca="false">('Ver-Iniciação1'!$I$19/SUM('Ver-Iniciação1'!$G$19:$J$19))</f>
        <v>0</v>
      </c>
      <c r="E5" s="7" t="n">
        <f aca="false">('Ver-Iniciação1'!$J$19/SUM('Ver-Iniciação1'!$G$19:$J$19))</f>
        <v>1</v>
      </c>
      <c r="N5" s="6" t="s">
        <v>16</v>
      </c>
      <c r="O5" s="7" t="e">
        <f aca="false">('Ver-Elaboração1'!$G$16/SUM('Ver-Elaboração1'!$G$16:$J$16))</f>
        <v>#DIV/0!</v>
      </c>
      <c r="P5" s="7" t="e">
        <f aca="false">('Ver-Elaboração1'!$H$16/SUM('Ver-Elaboração1'!$G$16:$J$16))</f>
        <v>#DIV/0!</v>
      </c>
      <c r="Q5" s="7" t="e">
        <f aca="false">('Ver-Elaboração1'!$I$16/SUM('Ver-Elaboração1'!$G$16:$J$16))</f>
        <v>#DIV/0!</v>
      </c>
      <c r="R5" s="7" t="e">
        <f aca="false">('Ver-Elaboração1'!$J$16/SUM('Ver-Elaboração1'!$G$16:$J$16))</f>
        <v>#DIV/0!</v>
      </c>
    </row>
    <row r="6" customFormat="false" ht="15" hidden="false" customHeight="false" outlineLevel="0" collapsed="false">
      <c r="A6" s="6" t="s">
        <v>16</v>
      </c>
      <c r="B6" s="7" t="n">
        <f aca="false">('Ver-Iniciação1'!$G$22/SUM('Ver-Iniciação1'!$G$22:$J$22))</f>
        <v>0</v>
      </c>
      <c r="C6" s="7" t="n">
        <f aca="false">('Ver-Iniciação1'!$H$22/SUM('Ver-Iniciação1'!$G$22:$J$22))</f>
        <v>0</v>
      </c>
      <c r="D6" s="7" t="n">
        <f aca="false">('Ver-Iniciação1'!$I$22/SUM('Ver-Iniciação1'!$G$22:$J$22))</f>
        <v>0</v>
      </c>
      <c r="E6" s="7" t="n">
        <f aca="false">('Ver-Iniciação1'!$J$22/SUM('Ver-Iniciação1'!$G$22:$J$22))</f>
        <v>1</v>
      </c>
      <c r="N6" s="6" t="s">
        <v>17</v>
      </c>
      <c r="O6" s="7" t="e">
        <f aca="false">('ver-elaboração1'!#ref!/SUM('ver-elaboração1'!#ref!:'ver-elaboração1'!#ref!))</f>
        <v>#VALUE!</v>
      </c>
      <c r="P6" s="7" t="e">
        <f aca="false">('ver-elaboração1'!#ref!/SUM('ver-elaboração1'!#ref!:'ver-elaboração1'!#ref!))</f>
        <v>#VALUE!</v>
      </c>
      <c r="Q6" s="7" t="e">
        <f aca="false">('ver-elaboração1'!#ref!/SUM('ver-elaboração1'!#ref!:'ver-elaboração1'!#ref!))</f>
        <v>#VALUE!</v>
      </c>
      <c r="R6" s="7" t="e">
        <f aca="false">('ver-elaboração1'!#ref!/SUM('ver-elaboração1'!#ref!:'ver-elaboração1'!#ref!))</f>
        <v>#VALUE!</v>
      </c>
    </row>
    <row r="7" customFormat="false" ht="15" hidden="false" customHeight="false" outlineLevel="0" collapsed="false">
      <c r="A7" s="6" t="s">
        <v>17</v>
      </c>
      <c r="B7" s="7" t="n">
        <f aca="false">('Ver-Iniciação1'!$G$25/SUM('Ver-Iniciação1'!$G$25:$J$25))</f>
        <v>0</v>
      </c>
      <c r="C7" s="7" t="n">
        <f aca="false">('Ver-Iniciação1'!$H$25/SUM('Ver-Iniciação1'!$G$25:$J$25))</f>
        <v>0</v>
      </c>
      <c r="D7" s="7" t="n">
        <f aca="false">('Ver-Iniciação1'!$I$25/SUM('Ver-Iniciação1'!$G$25:$J$25))</f>
        <v>0</v>
      </c>
      <c r="E7" s="7" t="n">
        <f aca="false">('Ver-Iniciação1'!$J$25/SUM('Ver-Iniciação1'!$G$25:$J$25))</f>
        <v>1</v>
      </c>
      <c r="N7" s="6" t="s">
        <v>18</v>
      </c>
      <c r="O7" s="7" t="e">
        <f aca="false">('Ver-Elaboração1'!$G$18/SUM('Ver-Elaboração1'!$G$18:$J$18))</f>
        <v>#DIV/0!</v>
      </c>
      <c r="P7" s="7" t="e">
        <f aca="false">('Ver-Elaboração1'!$H$18/SUM('Ver-Elaboração1'!$G$18:$J$18))</f>
        <v>#DIV/0!</v>
      </c>
      <c r="Q7" s="7" t="e">
        <f aca="false">('Ver-Elaboração1'!$I$18/SUM('Ver-Elaboração1'!$G$18:$J$18))</f>
        <v>#DIV/0!</v>
      </c>
      <c r="R7" s="7" t="e">
        <f aca="false">('Ver-Elaboração1'!$J$18/SUM('Ver-Elaboração1'!$G$18:$J$18))</f>
        <v>#DIV/0!</v>
      </c>
    </row>
    <row r="8" customFormat="false" ht="15" hidden="false" customHeight="false" outlineLevel="0" collapsed="false">
      <c r="A8" s="6" t="s">
        <v>19</v>
      </c>
      <c r="B8" s="7" t="e">
        <f aca="false">('ver-iniciação1'!#ref!/SUM('ver-iniciação1'!#ref!:'ver-iniciação1'!#ref!))</f>
        <v>#VALUE!</v>
      </c>
      <c r="C8" s="7" t="e">
        <f aca="false">('ver-iniciação1'!#ref!/SUM('ver-iniciação1'!#ref!:'ver-iniciação1'!#ref!))</f>
        <v>#VALUE!</v>
      </c>
      <c r="D8" s="7" t="e">
        <f aca="false">('ver-iniciação1'!#ref!/SUM('ver-iniciação1'!#ref!:'ver-iniciação1'!#ref!))</f>
        <v>#VALUE!</v>
      </c>
      <c r="E8" s="7" t="e">
        <f aca="false">('ver-iniciação1'!#ref!/SUM('ver-iniciação1'!#ref!:'ver-iniciação1'!#ref!))</f>
        <v>#VALUE!</v>
      </c>
      <c r="N8" s="6" t="s">
        <v>20</v>
      </c>
      <c r="O8" s="7" t="e">
        <f aca="false">('ver-elaboração1'!#ref!/SUM('ver-elaboração1'!#ref!:'ver-elaboração1'!#ref!))</f>
        <v>#VALUE!</v>
      </c>
      <c r="P8" s="7" t="e">
        <f aca="false">('ver-elaboração1'!#ref!/SUM('ver-elaboração1'!#ref!:'ver-elaboração1'!#ref!))</f>
        <v>#VALUE!</v>
      </c>
      <c r="Q8" s="7" t="e">
        <f aca="false">('ver-elaboração1'!#ref!/SUM('ver-elaboração1'!#ref!:'ver-elaboração1'!#ref!))</f>
        <v>#VALUE!</v>
      </c>
      <c r="R8" s="7" t="e">
        <f aca="false">('ver-elaboração1'!#ref!/SUM('ver-elaboração1'!#ref!:'ver-elaboração1'!#ref!))</f>
        <v>#VALUE!</v>
      </c>
    </row>
    <row r="9" customFormat="false" ht="15" hidden="false" customHeight="false" outlineLevel="0" collapsed="false">
      <c r="A9" s="6" t="s">
        <v>21</v>
      </c>
      <c r="B9" s="7" t="e">
        <f aca="false">('ver-iniciação1'!#ref!/SUM('ver-iniciação1'!#ref!:'ver-iniciação1'!#ref!))</f>
        <v>#VALUE!</v>
      </c>
      <c r="C9" s="7" t="e">
        <f aca="false">('ver-iniciação1'!#ref!/SUM('ver-iniciação1'!#ref!:'ver-iniciação1'!#ref!))</f>
        <v>#VALUE!</v>
      </c>
      <c r="D9" s="7" t="e">
        <f aca="false">('ver-iniciação1'!#ref!/SUM('ver-iniciação1'!#ref!:'ver-iniciação1'!#ref!))</f>
        <v>#VALUE!</v>
      </c>
      <c r="E9" s="7" t="e">
        <f aca="false">('ver-iniciação1'!#ref!/SUM('ver-iniciação1'!#ref!:'ver-iniciação1'!#ref!))</f>
        <v>#VALUE!</v>
      </c>
      <c r="N9" s="6" t="s">
        <v>22</v>
      </c>
      <c r="O9" s="7" t="e">
        <f aca="false">('Ver-Elaboração1'!$G$23/SUM('Ver-Elaboração1'!$G$23:$J$23))</f>
        <v>#DIV/0!</v>
      </c>
      <c r="P9" s="7" t="e">
        <f aca="false">('Ver-Elaboração1'!$H$23/SUM('Ver-Elaboração1'!$G$23:$J$23))</f>
        <v>#DIV/0!</v>
      </c>
      <c r="Q9" s="7" t="e">
        <f aca="false">('Ver-Elaboração1'!$I$23/SUM('Ver-Elaboração1'!$G$23:$J$23))</f>
        <v>#DIV/0!</v>
      </c>
      <c r="R9" s="7" t="e">
        <f aca="false">('Ver-Elaboração1'!$J$23/SUM('Ver-Elaboração1'!$G$23:$J$23))</f>
        <v>#DIV/0!</v>
      </c>
    </row>
    <row r="10" customFormat="false" ht="15" hidden="false" customHeight="false" outlineLevel="0" collapsed="false">
      <c r="A10" s="6" t="s">
        <v>23</v>
      </c>
      <c r="B10" s="7" t="n">
        <f aca="false">('Ver-Iniciação1'!$G$28/SUM('Ver-Iniciação1'!$G$28:$J$28))</f>
        <v>1</v>
      </c>
      <c r="C10" s="7" t="n">
        <f aca="false">('Ver-Iniciação1'!$H$28/SUM('Ver-Iniciação1'!$G$28:$J$28))</f>
        <v>0</v>
      </c>
      <c r="D10" s="7" t="n">
        <f aca="false">('Ver-Iniciação1'!$I$28/SUM('Ver-Iniciação1'!$G$28:$J$28))</f>
        <v>0</v>
      </c>
      <c r="E10" s="7" t="n">
        <f aca="false">('Ver-Iniciação1'!$J$28/SUM('Ver-Iniciação1'!$G$28:$J$28))</f>
        <v>0</v>
      </c>
      <c r="N10" s="6" t="s">
        <v>23</v>
      </c>
      <c r="O10" s="7" t="e">
        <f aca="false">('Ver-Elaboração1'!$G$29/SUM('Ver-Elaboração1'!$G$29:$J$29))</f>
        <v>#DIV/0!</v>
      </c>
      <c r="P10" s="7" t="e">
        <f aca="false">('Ver-Elaboração1'!$H$29/SUM('Ver-Elaboração1'!$G$29:$J$29))</f>
        <v>#DIV/0!</v>
      </c>
      <c r="Q10" s="7" t="e">
        <f aca="false">('Ver-Elaboração1'!$I$29/SUM('Ver-Elaboração1'!$G$29:$J$29))</f>
        <v>#DIV/0!</v>
      </c>
      <c r="R10" s="7" t="e">
        <f aca="false">('Ver-Elaboração1'!$J$29/SUM('Ver-Elaboração1'!$G$29:$J$29))</f>
        <v>#DIV/0!</v>
      </c>
    </row>
    <row r="11" customFormat="false" ht="15" hidden="false" customHeight="false" outlineLevel="0" collapsed="false">
      <c r="A11" s="6" t="s">
        <v>24</v>
      </c>
      <c r="B11" s="7" t="n">
        <f aca="false">('Ver-Iniciação1'!$G$37/SUM('Ver-Iniciação1'!$G$37:$J$37))</f>
        <v>0.75</v>
      </c>
      <c r="C11" s="7" t="n">
        <f aca="false">('Ver-Iniciação1'!$H$37/SUM('Ver-Iniciação1'!$G$37:$J$37))</f>
        <v>0</v>
      </c>
      <c r="D11" s="7" t="n">
        <f aca="false">('Ver-Iniciação1'!$I$37/SUM('Ver-Iniciação1'!$G$37:$J$37))</f>
        <v>0.25</v>
      </c>
      <c r="E11" s="7" t="n">
        <f aca="false">('Ver-Iniciação1'!$J$37/SUM('Ver-Iniciação1'!$G$37:$J$37))</f>
        <v>0</v>
      </c>
      <c r="N11" s="6" t="s">
        <v>24</v>
      </c>
      <c r="O11" s="7" t="e">
        <f aca="false">('Ver-Elaboração1'!$G$36/SUM('Ver-Elaboração1'!$G$36:$J$36))</f>
        <v>#DIV/0!</v>
      </c>
      <c r="P11" s="7" t="e">
        <f aca="false">('Ver-Elaboração1'!$H$36/SUM('Ver-Elaboração1'!$G$36:$J$36))</f>
        <v>#DIV/0!</v>
      </c>
      <c r="Q11" s="7" t="e">
        <f aca="false">('Ver-Elaboração1'!$I$36/SUM('Ver-Elaboração1'!$G$36:$J$36))</f>
        <v>#DIV/0!</v>
      </c>
      <c r="R11" s="7" t="e">
        <f aca="false">('Ver-Elaboração1'!$J$36/SUM('Ver-Elaboração1'!$G$36:$J$36))</f>
        <v>#DIV/0!</v>
      </c>
    </row>
    <row r="12" customFormat="false" ht="15" hidden="false" customHeight="false" outlineLevel="0" collapsed="false">
      <c r="A12" s="6" t="s">
        <v>25</v>
      </c>
      <c r="B12" s="7" t="e">
        <f aca="false">('ver-iniciação1'!#ref!/SUM('ver-iniciação1'!#ref!:'ver-iniciação1'!#ref!))</f>
        <v>#VALUE!</v>
      </c>
      <c r="C12" s="7" t="e">
        <f aca="false">('ver-iniciação1'!#ref!/SUM('ver-iniciação1'!#ref!:'ver-iniciação1'!#ref!))</f>
        <v>#VALUE!</v>
      </c>
      <c r="D12" s="7" t="e">
        <f aca="false">('ver-iniciação1'!#ref!/SUM('ver-iniciação1'!#ref!:'ver-iniciação1'!#ref!))</f>
        <v>#VALUE!</v>
      </c>
      <c r="E12" s="7" t="e">
        <f aca="false">('ver-iniciação1'!#ref!/SUM('ver-iniciação1'!#ref!:'ver-iniciação1'!#ref!))</f>
        <v>#VALUE!</v>
      </c>
      <c r="N12" s="6" t="s">
        <v>25</v>
      </c>
      <c r="O12" s="7" t="e">
        <f aca="false">('Ver-Elaboração1'!$G$40/SUM('Ver-Elaboração1'!$G$40:$J$40))</f>
        <v>#DIV/0!</v>
      </c>
      <c r="P12" s="7" t="e">
        <f aca="false">('Ver-Elaboração1'!$H$40/SUM('Ver-Elaboração1'!$G$40:$J$40))</f>
        <v>#DIV/0!</v>
      </c>
      <c r="Q12" s="7" t="e">
        <f aca="false">('Ver-Elaboração1'!$I$40/SUM('Ver-Elaboração1'!$G$40:$J$40))</f>
        <v>#DIV/0!</v>
      </c>
      <c r="R12" s="7" t="e">
        <f aca="false">('Ver-Elaboração1'!$J$40/SUM('Ver-Elaboração1'!$G$40:$J$40))</f>
        <v>#DIV/0!</v>
      </c>
    </row>
    <row r="21" customFormat="false" ht="15.75" hidden="false" customHeight="true" outlineLevel="0" collapsed="false"/>
    <row r="22" customFormat="false" ht="15.75" hidden="false" customHeight="true" outlineLevel="0" collapsed="false">
      <c r="A22" s="6" t="s">
        <v>7</v>
      </c>
      <c r="B22" s="6" t="s">
        <v>8</v>
      </c>
      <c r="C22" s="6" t="s">
        <v>9</v>
      </c>
      <c r="D22" s="6" t="s">
        <v>10</v>
      </c>
      <c r="E22" s="6" t="s">
        <v>11</v>
      </c>
    </row>
    <row r="23" customFormat="false" ht="15.75" hidden="false" customHeight="true" outlineLevel="0" collapsed="false">
      <c r="A23" s="6" t="s">
        <v>13</v>
      </c>
      <c r="B23" s="7" t="e">
        <f aca="false">('Ver-Construção1'!$G$6/SUM('Ver-Construção1'!$G$6:$J$6))</f>
        <v>#DIV/0!</v>
      </c>
      <c r="C23" s="8" t="e">
        <f aca="false">('Ver-Construção1'!$H$6/SUM('Ver-Construção1'!$G$6:$J$6))</f>
        <v>#DIV/0!</v>
      </c>
      <c r="D23" s="8" t="e">
        <f aca="false">('Ver-Construção1'!$I$6/SUM('Ver-Construção1'!$G$6:$J$6))</f>
        <v>#DIV/0!</v>
      </c>
      <c r="E23" s="8" t="e">
        <f aca="false">('Ver-Construção1'!$J$6/SUM('Ver-Construção1'!$G$6:$J$6))</f>
        <v>#DIV/0!</v>
      </c>
    </row>
    <row r="24" customFormat="false" ht="15.75" hidden="false" customHeight="true" outlineLevel="0" collapsed="false">
      <c r="A24" s="6" t="s">
        <v>14</v>
      </c>
      <c r="B24" s="7" t="e">
        <f aca="false">('Ver-Construção1'!$G$8/SUM('Ver-Construção1'!$G$8:$J$8))</f>
        <v>#DIV/0!</v>
      </c>
      <c r="C24" s="8" t="e">
        <f aca="false">('Ver-Construção1'!$H$8/SUM('Ver-Construção1'!$G$8:$J$8))</f>
        <v>#DIV/0!</v>
      </c>
      <c r="D24" s="8" t="e">
        <f aca="false">('Ver-Construção1'!$I$8/SUM('Ver-Construção1'!$G$8:$J$8))</f>
        <v>#DIV/0!</v>
      </c>
      <c r="E24" s="8" t="e">
        <f aca="false">('Ver-Construção1'!$J$8/SUM('Ver-Construção1'!$G$8:$J$8))</f>
        <v>#DIV/0!</v>
      </c>
      <c r="M24" s="6" t="s">
        <v>7</v>
      </c>
      <c r="N24" s="6" t="s">
        <v>8</v>
      </c>
      <c r="O24" s="6" t="s">
        <v>9</v>
      </c>
      <c r="P24" s="6" t="s">
        <v>10</v>
      </c>
      <c r="Q24" s="6" t="s">
        <v>11</v>
      </c>
    </row>
    <row r="25" customFormat="false" ht="15.75" hidden="false" customHeight="true" outlineLevel="0" collapsed="false">
      <c r="A25" s="6" t="s">
        <v>15</v>
      </c>
      <c r="B25" s="7" t="e">
        <f aca="false">('Ver-Construção1'!$G$10/SUM('Ver-Construção1'!$G$10:$J$10))</f>
        <v>#DIV/0!</v>
      </c>
      <c r="C25" s="8" t="e">
        <f aca="false">('Ver-Construção1'!$G$10/SUM('Ver-Construção1'!$G$10:$J$10))</f>
        <v>#DIV/0!</v>
      </c>
      <c r="D25" s="8" t="e">
        <f aca="false">('Ver-Construção1'!$I$10/SUM('Ver-Construção1'!$G$10:$J$10))</f>
        <v>#DIV/0!</v>
      </c>
      <c r="E25" s="8" t="e">
        <f aca="false">('Ver-Construção1'!$J$10/SUM('Ver-Construção1'!$G$10:$J$10))</f>
        <v>#DIV/0!</v>
      </c>
      <c r="M25" s="6" t="s">
        <v>13</v>
      </c>
      <c r="N25" s="8" t="e">
        <f aca="false">('Ver-Transição1'!$G$6/SUM('Ver-Transição1'!$G$6:$J$6))</f>
        <v>#DIV/0!</v>
      </c>
      <c r="O25" s="8" t="e">
        <f aca="false">('Ver-Transição1'!$H$6/SUM('Ver-Transição1'!$G$6:$J$6))</f>
        <v>#DIV/0!</v>
      </c>
      <c r="P25" s="8" t="e">
        <f aca="false">('Ver-Transição1'!$I$6/SUM('Ver-Transição1'!$G$6:$J$6))</f>
        <v>#DIV/0!</v>
      </c>
      <c r="Q25" s="8" t="e">
        <f aca="false">('Ver-Transição1'!$J$6/SUM('Ver-Transição1'!$G$6:$J$6))</f>
        <v>#DIV/0!</v>
      </c>
    </row>
    <row r="26" customFormat="false" ht="15.75" hidden="false" customHeight="true" outlineLevel="0" collapsed="false">
      <c r="A26" s="6" t="s">
        <v>16</v>
      </c>
      <c r="B26" s="8" t="e">
        <f aca="false">('Ver-Construção1'!$G$14/SUM('Ver-Construção1'!$G$14:$J$14))</f>
        <v>#DIV/0!</v>
      </c>
      <c r="C26" s="8" t="e">
        <f aca="false">('Ver-Construção1'!$H$14/SUM('Ver-Construção1'!$G$14:$J$14))</f>
        <v>#DIV/0!</v>
      </c>
      <c r="D26" s="8" t="e">
        <f aca="false">('Ver-Construção1'!$I$14/SUM('Ver-Construção1'!$G$14:$J$14))</f>
        <v>#DIV/0!</v>
      </c>
      <c r="E26" s="8" t="e">
        <f aca="false">('Ver-Construção1'!$J$14/SUM('Ver-Construção1'!$G$14:$J$14))</f>
        <v>#DIV/0!</v>
      </c>
      <c r="M26" s="6" t="s">
        <v>14</v>
      </c>
      <c r="N26" s="8" t="e">
        <f aca="false">('Ver-Transição1'!$G$8/SUM('Ver-Transição1'!$G$8:$J$8))</f>
        <v>#DIV/0!</v>
      </c>
      <c r="O26" s="8" t="e">
        <f aca="false">('Ver-Transição1'!$H$8/SUM('Ver-Transição1'!$G$8:$J$8))</f>
        <v>#DIV/0!</v>
      </c>
      <c r="P26" s="8" t="e">
        <f aca="false">('Ver-Transição1'!$I$8/SUM('Ver-Transição1'!$G$8:$J$8))</f>
        <v>#DIV/0!</v>
      </c>
      <c r="Q26" s="8" t="e">
        <f aca="false">('Ver-Transição1'!$J$8/SUM('Ver-Transição1'!$G$8:$J$8))</f>
        <v>#DIV/0!</v>
      </c>
    </row>
    <row r="27" customFormat="false" ht="15.75" hidden="false" customHeight="true" outlineLevel="0" collapsed="false">
      <c r="A27" s="6" t="s">
        <v>17</v>
      </c>
      <c r="B27" s="8" t="e">
        <f aca="false">('ver-construção1'!#ref!/SUM('ver-construção1'!#ref!:'ver-construção1'!#ref!))</f>
        <v>#VALUE!</v>
      </c>
      <c r="C27" s="8" t="e">
        <f aca="false">('ver-construção1'!#ref!/SUM('ver-construção1'!#ref!:'ver-construção1'!#ref!))</f>
        <v>#VALUE!</v>
      </c>
      <c r="D27" s="8" t="e">
        <f aca="false">('ver-construção1'!#ref!/SUM('ver-construção1'!#ref!:'ver-construção1'!#ref!))</f>
        <v>#VALUE!</v>
      </c>
      <c r="E27" s="8" t="e">
        <f aca="false">('ver-construção1'!#ref!/SUM('ver-construção1'!#ref!:'ver-construção1'!#ref!))</f>
        <v>#VALUE!</v>
      </c>
      <c r="M27" s="6" t="s">
        <v>15</v>
      </c>
      <c r="N27" s="8" t="e">
        <f aca="false">('Ver-Transição1'!$G$10/SUM('Ver-Transição1'!$G$10:$J$10))</f>
        <v>#DIV/0!</v>
      </c>
      <c r="O27" s="8" t="e">
        <f aca="false">('Ver-Transição1'!$H$10/SUM('Ver-Transição1'!$G$10:$J$10))</f>
        <v>#DIV/0!</v>
      </c>
      <c r="P27" s="8" t="e">
        <f aca="false">('Ver-Transição1'!$I$10/SUM('Ver-Transição1'!$G$10:$J$10))</f>
        <v>#DIV/0!</v>
      </c>
      <c r="Q27" s="8" t="e">
        <f aca="false">('Ver-Transição1'!$J$10/SUM('Ver-Transição1'!$G$10:$J$10))</f>
        <v>#DIV/0!</v>
      </c>
    </row>
    <row r="28" customFormat="false" ht="15.75" hidden="false" customHeight="true" outlineLevel="0" collapsed="false">
      <c r="A28" s="6" t="s">
        <v>18</v>
      </c>
      <c r="B28" s="8" t="e">
        <f aca="false">('Ver-Construção1'!$G$16/SUM('Ver-Construção1'!$G$16:$J$16))</f>
        <v>#DIV/0!</v>
      </c>
      <c r="C28" s="8" t="e">
        <f aca="false">('Ver-Construção1'!$H$16/SUM('Ver-Construção1'!$G$16:$J$16))</f>
        <v>#DIV/0!</v>
      </c>
      <c r="D28" s="8" t="e">
        <f aca="false">('Ver-Construção1'!$I$16/SUM('Ver-Construção1'!$G$16:$J$16))</f>
        <v>#DIV/0!</v>
      </c>
      <c r="E28" s="8" t="e">
        <f aca="false">('Ver-Construção1'!$J$16/SUM('Ver-Construção1'!$G$16:$J$16))</f>
        <v>#DIV/0!</v>
      </c>
      <c r="M28" s="6" t="s">
        <v>16</v>
      </c>
      <c r="N28" s="8" t="e">
        <f aca="false">('Ver-Transição1'!$G$14/SUM('Ver-Transição1'!$G$14:$J$14))</f>
        <v>#DIV/0!</v>
      </c>
      <c r="O28" s="8" t="e">
        <f aca="false">('Ver-Transição1'!$H$14/SUM('Ver-Transição1'!$G$14:$J$14))</f>
        <v>#DIV/0!</v>
      </c>
      <c r="P28" s="8" t="e">
        <f aca="false">('Ver-Transição1'!$I$14/SUM('Ver-Transição1'!$G$14:$J$14))</f>
        <v>#DIV/0!</v>
      </c>
      <c r="Q28" s="8" t="e">
        <f aca="false">('Ver-Transição1'!$J$14/SUM('Ver-Transição1'!$G$14:$J$14))</f>
        <v>#DIV/0!</v>
      </c>
    </row>
    <row r="29" customFormat="false" ht="15.75" hidden="false" customHeight="true" outlineLevel="0" collapsed="false">
      <c r="A29" s="6" t="s">
        <v>20</v>
      </c>
      <c r="B29" s="8" t="e">
        <f aca="false">('ver-construção1'!#ref!/SUM('ver-construção1'!#ref!:'ver-construção1'!#ref!))</f>
        <v>#VALUE!</v>
      </c>
      <c r="C29" s="8" t="e">
        <f aca="false">('ver-construção1'!#ref!/SUM('ver-construção1'!#ref!:'ver-construção1'!#ref!))</f>
        <v>#VALUE!</v>
      </c>
      <c r="D29" s="8" t="e">
        <f aca="false">('ver-construção1'!#ref!/SUM('ver-construção1'!#ref!:'ver-construção1'!#ref!))</f>
        <v>#VALUE!</v>
      </c>
      <c r="E29" s="8" t="e">
        <f aca="false">('ver-construção1'!#ref!/SUM('ver-construção1'!#ref!:'ver-construção1'!#ref!))</f>
        <v>#VALUE!</v>
      </c>
      <c r="M29" s="6" t="s">
        <v>17</v>
      </c>
      <c r="N29" s="8" t="e">
        <f aca="false">('ver-transição1'!#ref!/SUM('ver-transição1'!#ref!:'ver-transição1'!#ref!))</f>
        <v>#VALUE!</v>
      </c>
      <c r="O29" s="8" t="e">
        <f aca="false">('ver-transição1'!#ref!/SUM('ver-transição1'!#ref!:'ver-transição1'!#ref!))</f>
        <v>#VALUE!</v>
      </c>
      <c r="P29" s="8" t="e">
        <f aca="false">('ver-transição1'!#ref!/SUM('ver-transição1'!#ref!:'ver-transição1'!#ref!))</f>
        <v>#VALUE!</v>
      </c>
      <c r="Q29" s="8" t="e">
        <f aca="false">('ver-transição1'!#ref!/SUM('ver-transição1'!#ref!:'ver-transição1'!#ref!))</f>
        <v>#VALUE!</v>
      </c>
    </row>
    <row r="30" customFormat="false" ht="15.75" hidden="false" customHeight="true" outlineLevel="0" collapsed="false">
      <c r="A30" s="6" t="s">
        <v>22</v>
      </c>
      <c r="B30" s="8" t="e">
        <f aca="false">('Ver-Construção1'!$G$18/SUM('Ver-Construção1'!$G$18:$J$18))</f>
        <v>#DIV/0!</v>
      </c>
      <c r="C30" s="8" t="e">
        <f aca="false">('Ver-Construção1'!$H$18/SUM('Ver-Construção1'!$G$18:$J$18))</f>
        <v>#DIV/0!</v>
      </c>
      <c r="D30" s="8" t="e">
        <f aca="false">('Ver-Construção1'!$I$18/SUM('Ver-Construção1'!$G$18:$J$18))</f>
        <v>#DIV/0!</v>
      </c>
      <c r="E30" s="8" t="e">
        <f aca="false">('Ver-Construção1'!$J$18/SUM('Ver-Construção1'!$G$18:$J$18))</f>
        <v>#DIV/0!</v>
      </c>
      <c r="M30" s="6" t="s">
        <v>18</v>
      </c>
      <c r="N30" s="8" t="e">
        <f aca="false">('Ver-Transição1'!$G$16/SUM('Ver-Transição1'!$G$16:$J$16))</f>
        <v>#DIV/0!</v>
      </c>
      <c r="O30" s="8" t="e">
        <f aca="false">('Ver-Transição1'!$H$16/SUM('Ver-Transição1'!$G$16:$J$16))</f>
        <v>#DIV/0!</v>
      </c>
      <c r="P30" s="8" t="e">
        <f aca="false">('Ver-Transição1'!$I$16/SUM('Ver-Transição1'!$G$16:$J$16))</f>
        <v>#DIV/0!</v>
      </c>
      <c r="Q30" s="8" t="e">
        <f aca="false">('Ver-Transição1'!$J$16/SUM('Ver-Transição1'!$G$16:$J$16))</f>
        <v>#DIV/0!</v>
      </c>
    </row>
    <row r="31" customFormat="false" ht="15.75" hidden="false" customHeight="true" outlineLevel="0" collapsed="false">
      <c r="A31" s="6" t="s">
        <v>26</v>
      </c>
      <c r="B31" s="8" t="e">
        <f aca="false">('Ver-Construção1'!$G$24/SUM('Ver-Construção1'!$G$24:$J$24))</f>
        <v>#DIV/0!</v>
      </c>
      <c r="C31" s="8" t="e">
        <f aca="false">('Ver-Construção1'!$H$24/SUM('Ver-Construção1'!$G$24:$J$24))</f>
        <v>#DIV/0!</v>
      </c>
      <c r="D31" s="8" t="e">
        <f aca="false">('Ver-Construção1'!$I$24/SUM('Ver-Construção1'!$G$24:$J$24))</f>
        <v>#DIV/0!</v>
      </c>
      <c r="E31" s="8" t="e">
        <f aca="false">('Ver-Construção1'!$J$24/SUM('Ver-Construção1'!$G$24:$J$24))</f>
        <v>#DIV/0!</v>
      </c>
      <c r="M31" s="6" t="s">
        <v>22</v>
      </c>
      <c r="N31" s="8" t="e">
        <f aca="false">('Ver-Transição1'!$G$18/SUM('Ver-Transição1'!$G$18:$J$18))</f>
        <v>#DIV/0!</v>
      </c>
      <c r="O31" s="8" t="e">
        <f aca="false">('Ver-Transição1'!$H$18/SUM('Ver-Transição1'!$G$18:$J$18))</f>
        <v>#DIV/0!</v>
      </c>
      <c r="P31" s="8" t="e">
        <f aca="false">('Ver-Transição1'!$I$18/SUM('Ver-Transição1'!$G$18:$J$18))</f>
        <v>#DIV/0!</v>
      </c>
      <c r="Q31" s="8" t="e">
        <f aca="false">('Ver-Transição1'!$J$18/SUM('Ver-Transição1'!$G$18:$J$18))</f>
        <v>#DIV/0!</v>
      </c>
    </row>
    <row r="32" customFormat="false" ht="15.75" hidden="false" customHeight="true" outlineLevel="0" collapsed="false">
      <c r="A32" s="6" t="s">
        <v>23</v>
      </c>
      <c r="B32" s="8" t="e">
        <f aca="false">('Ver-Construção1'!$G$30/SUM('Ver-Construção1'!$G$30:$J$30))</f>
        <v>#DIV/0!</v>
      </c>
      <c r="C32" s="8" t="e">
        <f aca="false">('Ver-Construção1'!$H$30/SUM('Ver-Construção1'!$G$30:$J$30))</f>
        <v>#DIV/0!</v>
      </c>
      <c r="D32" s="8" t="e">
        <f aca="false">('Ver-Construção1'!$I$30/SUM('Ver-Construção1'!$G$30:$J$30))</f>
        <v>#DIV/0!</v>
      </c>
      <c r="E32" s="8" t="e">
        <f aca="false">('Ver-Construção1'!$J$30/SUM('Ver-Construção1'!$G$30:$J$30))</f>
        <v>#DIV/0!</v>
      </c>
      <c r="M32" s="6" t="s">
        <v>26</v>
      </c>
      <c r="N32" s="8" t="e">
        <f aca="false">('Ver-Transição1'!$G$23/SUM('Ver-Transição1'!$G$23:$J$23))</f>
        <v>#DIV/0!</v>
      </c>
      <c r="O32" s="8" t="e">
        <f aca="false">('Ver-Transição1'!$H$23/SUM('Ver-Transição1'!$G$23:$J$23))</f>
        <v>#DIV/0!</v>
      </c>
      <c r="P32" s="8" t="e">
        <f aca="false">('Ver-Transição1'!$I$23/SUM('Ver-Transição1'!$G$23:$J$23))</f>
        <v>#DIV/0!</v>
      </c>
      <c r="Q32" s="8" t="e">
        <f aca="false">('Ver-Transição1'!$J$23/SUM('Ver-Transição1'!$G$23:$J$23))</f>
        <v>#DIV/0!</v>
      </c>
    </row>
    <row r="33" customFormat="false" ht="15.75" hidden="false" customHeight="true" outlineLevel="0" collapsed="false">
      <c r="A33" s="6" t="s">
        <v>24</v>
      </c>
      <c r="B33" s="8" t="e">
        <f aca="false">('Ver-Construção1'!$G$36/SUM('Ver-Construção1'!$G$36:$J$36))</f>
        <v>#DIV/0!</v>
      </c>
      <c r="C33" s="8" t="e">
        <f aca="false">('Ver-Construção1'!$H$36/SUM('Ver-Construção1'!$G$36:$J$36))</f>
        <v>#DIV/0!</v>
      </c>
      <c r="D33" s="8" t="e">
        <f aca="false">('Ver-Construção1'!$I$36/SUM('Ver-Construção1'!$G$36:$J$36))</f>
        <v>#DIV/0!</v>
      </c>
      <c r="E33" s="8" t="e">
        <f aca="false">('Ver-Construção1'!$J$36/SUM('Ver-Construção1'!$G$36:$J$36))</f>
        <v>#DIV/0!</v>
      </c>
      <c r="M33" s="6" t="s">
        <v>27</v>
      </c>
      <c r="N33" s="8" t="e">
        <f aca="false">('Ver-Transição1'!$G$26/SUM('Ver-Transição1'!$G$26:$J$26))</f>
        <v>#DIV/0!</v>
      </c>
      <c r="O33" s="8" t="e">
        <f aca="false">('Ver-Transição1'!$H$26/SUM('Ver-Transição1'!$G$26:$J$26))</f>
        <v>#DIV/0!</v>
      </c>
      <c r="P33" s="8" t="e">
        <f aca="false">('Ver-Transição1'!$I$26/SUM('Ver-Transição1'!$G$26:$J$26))</f>
        <v>#DIV/0!</v>
      </c>
      <c r="Q33" s="8" t="e">
        <f aca="false">('Ver-Transição1'!$J$26/SUM('Ver-Transição1'!$G$26:$J$26))</f>
        <v>#DIV/0!</v>
      </c>
    </row>
    <row r="34" customFormat="false" ht="15.75" hidden="false" customHeight="true" outlineLevel="0" collapsed="false">
      <c r="A34" s="6" t="s">
        <v>25</v>
      </c>
      <c r="B34" s="8" t="e">
        <f aca="false">('Ver-Construção1'!$G$41/SUM('Ver-Construção1'!$G$41:$J$41))</f>
        <v>#DIV/0!</v>
      </c>
      <c r="C34" s="8" t="e">
        <f aca="false">('Ver-Construção1'!$H$41/SUM('Ver-Construção1'!$G$41:$J$41))</f>
        <v>#DIV/0!</v>
      </c>
      <c r="D34" s="8" t="e">
        <f aca="false">('Ver-Construção1'!$I$41/SUM('Ver-Construção1'!$G$41:$J$41))</f>
        <v>#DIV/0!</v>
      </c>
      <c r="E34" s="8" t="e">
        <f aca="false">('Ver-Construção1'!$J$41/SUM('Ver-Construção1'!$G$41:$J$41))</f>
        <v>#DIV/0!</v>
      </c>
      <c r="M34" s="6" t="s">
        <v>28</v>
      </c>
      <c r="N34" s="7" t="e">
        <f aca="false">('Ver-Transição1'!$G$29/SUM('Ver-Transição1'!$G$29:$J$29))</f>
        <v>#DIV/0!</v>
      </c>
      <c r="O34" s="8" t="e">
        <f aca="false">('Ver-Transição1'!$H$29/SUM('Ver-Transição1'!$G$29:$J$29))</f>
        <v>#DIV/0!</v>
      </c>
      <c r="P34" s="8" t="e">
        <f aca="false">('Ver-Transição1'!$I$29/SUM('Ver-Transição1'!$G$29:$J$29))</f>
        <v>#DIV/0!</v>
      </c>
      <c r="Q34" s="8" t="e">
        <f aca="false">('Ver-Transição1'!$J$29/SUM('Ver-Transição1'!$G$29:$J$29))</f>
        <v>#DIV/0!</v>
      </c>
    </row>
    <row r="35" customFormat="false" ht="15.75" hidden="false" customHeight="true" outlineLevel="0" collapsed="false">
      <c r="M35" s="6" t="s">
        <v>23</v>
      </c>
      <c r="N35" s="8" t="e">
        <f aca="false">('Ver-Transição1'!$G$31/SUM('Ver-Transição1'!$G$31:$J$31))</f>
        <v>#DIV/0!</v>
      </c>
      <c r="O35" s="8" t="e">
        <f aca="false">('Ver-Transição1'!$H$31/SUM('Ver-Transição1'!$G$31:$J$31))</f>
        <v>#DIV/0!</v>
      </c>
      <c r="P35" s="8" t="e">
        <f aca="false">('Ver-Transição1'!$I$31/SUM('Ver-Transição1'!$G$31:$J$31))</f>
        <v>#DIV/0!</v>
      </c>
      <c r="Q35" s="8" t="e">
        <f aca="false">('Ver-Transição1'!$J$31/SUM('Ver-Transição1'!$G$31:$J$31))</f>
        <v>#DIV/0!</v>
      </c>
    </row>
    <row r="36" customFormat="false" ht="15.75" hidden="false" customHeight="true" outlineLevel="0" collapsed="false">
      <c r="M36" s="6" t="s">
        <v>24</v>
      </c>
      <c r="N36" s="8" t="e">
        <f aca="false">('Ver-Transição1'!$G$37/SUM('Ver-Transição1'!$G$37:$J$37))</f>
        <v>#DIV/0!</v>
      </c>
      <c r="O36" s="8" t="e">
        <f aca="false">('Ver-Transição1'!$H$37/SUM('Ver-Transição1'!$G$37:$J$37))</f>
        <v>#DIV/0!</v>
      </c>
      <c r="P36" s="8" t="e">
        <f aca="false">('Ver-Transição1'!$I$37/SUM('Ver-Transição1'!$G$37:$J$37))</f>
        <v>#DIV/0!</v>
      </c>
      <c r="Q36" s="8" t="e">
        <f aca="false">('Ver-Transição1'!$J$37/SUM('Ver-Transição1'!$G$37:$J$37))</f>
        <v>#DIV/0!</v>
      </c>
    </row>
    <row r="37" customFormat="false" ht="15.75" hidden="false" customHeight="true" outlineLevel="0" collapsed="false">
      <c r="M37" s="6" t="s">
        <v>25</v>
      </c>
      <c r="N37" s="8" t="e">
        <f aca="false">('Ver-Transição1'!$G$42/SUM('Ver-Transição1'!$G$42:$J$42))</f>
        <v>#DIV/0!</v>
      </c>
      <c r="O37" s="8" t="e">
        <f aca="false">('Ver-Transição1'!$H$42/SUM('Ver-Transição1'!$G$42:$J$42))</f>
        <v>#DIV/0!</v>
      </c>
      <c r="P37" s="8" t="e">
        <f aca="false">('Ver-Transição1'!$I$42/SUM('Ver-Transição1'!$G$42:$J$42))</f>
        <v>#DIV/0!</v>
      </c>
      <c r="Q37" s="8" t="e">
        <f aca="false">('Ver-Transição1'!$J$42/SUM('Ver-Transição1'!$G$42:$J$42))</f>
        <v>#DIV/0!</v>
      </c>
    </row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41" activeCellId="0" sqref="E4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46.57"/>
    <col collapsed="false" customWidth="true" hidden="false" outlineLevel="0" max="2" min="2" style="0" width="5.29"/>
    <col collapsed="false" customWidth="true" hidden="false" outlineLevel="0" max="3" min="3" style="0" width="84"/>
    <col collapsed="false" customWidth="true" hidden="false" outlineLevel="0" max="4" min="4" style="0" width="9.86"/>
    <col collapsed="false" customWidth="true" hidden="false" outlineLevel="0" max="5" min="5" style="0" width="31.86"/>
    <col collapsed="false" customWidth="true" hidden="false" outlineLevel="0" max="6" min="6" style="0" width="28"/>
    <col collapsed="false" customWidth="true" hidden="true" outlineLevel="0" max="7" min="7" style="0" width="4.43"/>
    <col collapsed="false" customWidth="true" hidden="true" outlineLevel="0" max="8" min="8" style="0" width="6.14"/>
    <col collapsed="false" customWidth="true" hidden="true" outlineLevel="0" max="9" min="9" style="0" width="9.29"/>
    <col collapsed="false" customWidth="true" hidden="true" outlineLevel="0" max="10" min="10" style="0" width="6"/>
    <col collapsed="false" customWidth="true" hidden="false" outlineLevel="0" max="26" min="11" style="0" width="8.71"/>
  </cols>
  <sheetData>
    <row r="1" customFormat="false" ht="19.5" hidden="false" customHeight="true" outlineLevel="0" collapsed="false">
      <c r="A1" s="9" t="s">
        <v>29</v>
      </c>
      <c r="B1" s="9"/>
      <c r="C1" s="9"/>
      <c r="D1" s="9"/>
      <c r="E1" s="9"/>
      <c r="F1" s="9"/>
    </row>
    <row r="2" customFormat="false" ht="18.75" hidden="false" customHeight="true" outlineLevel="0" collapsed="false">
      <c r="A2" s="10" t="s">
        <v>30</v>
      </c>
      <c r="B2" s="10"/>
      <c r="C2" s="11" t="n">
        <v>46120</v>
      </c>
      <c r="D2" s="12" t="s">
        <v>31</v>
      </c>
      <c r="E2" s="12"/>
      <c r="F2" s="13" t="n">
        <f aca="false">COUNTIF(D5:D41,"Sim")/(COUNTA(D5:D41)-COUNTIF(D5:D41,"NA"))</f>
        <v>0.952380952380952</v>
      </c>
    </row>
    <row r="3" customFormat="false" ht="18.75" hidden="false" customHeight="true" outlineLevel="0" collapsed="false">
      <c r="A3" s="10" t="s">
        <v>32</v>
      </c>
      <c r="B3" s="10"/>
      <c r="C3" s="14" t="s">
        <v>33</v>
      </c>
      <c r="D3" s="15" t="s">
        <v>34</v>
      </c>
      <c r="E3" s="15"/>
      <c r="F3" s="15"/>
    </row>
    <row r="4" customFormat="false" ht="18.75" hidden="false" customHeight="true" outlineLevel="0" collapsed="false">
      <c r="A4" s="16" t="s">
        <v>35</v>
      </c>
      <c r="B4" s="16" t="s">
        <v>36</v>
      </c>
      <c r="C4" s="16" t="s">
        <v>37</v>
      </c>
      <c r="D4" s="17" t="s">
        <v>38</v>
      </c>
      <c r="E4" s="18" t="s">
        <v>39</v>
      </c>
      <c r="F4" s="18" t="s">
        <v>40</v>
      </c>
    </row>
    <row r="5" customFormat="false" ht="18.75" hidden="false" customHeight="true" outlineLevel="0" collapsed="false">
      <c r="A5" s="19" t="s">
        <v>41</v>
      </c>
      <c r="B5" s="20"/>
      <c r="C5" s="21" t="s">
        <v>12</v>
      </c>
      <c r="D5" s="22"/>
      <c r="E5" s="22"/>
      <c r="F5" s="22"/>
      <c r="G5" s="6" t="n">
        <f aca="false">COUNTIF(D6,"Sim")</f>
        <v>0</v>
      </c>
      <c r="H5" s="6" t="n">
        <f aca="false">COUNTIF(D6,"Parcialmente")</f>
        <v>0</v>
      </c>
      <c r="I5" s="6" t="n">
        <f aca="false">COUNTIF(D6,"Não")</f>
        <v>0</v>
      </c>
      <c r="J5" s="6" t="n">
        <f aca="false">COUNTIF(D6,"NA")</f>
        <v>1</v>
      </c>
    </row>
    <row r="6" customFormat="false" ht="18.75" hidden="false" customHeight="true" outlineLevel="0" collapsed="false">
      <c r="A6" s="19"/>
      <c r="B6" s="23" t="n">
        <v>1</v>
      </c>
      <c r="C6" s="24" t="s">
        <v>42</v>
      </c>
      <c r="D6" s="25" t="s">
        <v>43</v>
      </c>
      <c r="E6" s="24" t="s">
        <v>44</v>
      </c>
      <c r="F6" s="24"/>
    </row>
    <row r="7" customFormat="false" ht="15" hidden="false" customHeight="true" outlineLevel="0" collapsed="false">
      <c r="A7" s="26" t="s">
        <v>45</v>
      </c>
      <c r="B7" s="20"/>
      <c r="C7" s="21" t="s">
        <v>13</v>
      </c>
      <c r="D7" s="22"/>
      <c r="E7" s="22"/>
      <c r="F7" s="22"/>
      <c r="G7" s="6" t="n">
        <f aca="false">COUNTIF(D8:D12,"Sim")</f>
        <v>5</v>
      </c>
      <c r="H7" s="6" t="n">
        <f aca="false">COUNTIF(D8:D12,"Parcialmente")</f>
        <v>0</v>
      </c>
      <c r="I7" s="6" t="n">
        <f aca="false">COUNTIF(D8:D12,"Não")</f>
        <v>0</v>
      </c>
      <c r="J7" s="6" t="n">
        <f aca="false">COUNTIF(D8:D12,"NA")</f>
        <v>0</v>
      </c>
    </row>
    <row r="8" customFormat="false" ht="15" hidden="false" customHeight="true" outlineLevel="0" collapsed="false">
      <c r="A8" s="26"/>
      <c r="B8" s="27" t="n">
        <v>2</v>
      </c>
      <c r="C8" s="28" t="s">
        <v>46</v>
      </c>
      <c r="D8" s="25" t="s">
        <v>47</v>
      </c>
      <c r="E8" s="24"/>
      <c r="F8" s="24"/>
    </row>
    <row r="9" customFormat="false" ht="18.75" hidden="false" customHeight="true" outlineLevel="0" collapsed="false">
      <c r="A9" s="26"/>
      <c r="B9" s="23" t="n">
        <v>3</v>
      </c>
      <c r="C9" s="24" t="s">
        <v>48</v>
      </c>
      <c r="D9" s="25" t="s">
        <v>47</v>
      </c>
      <c r="E9" s="24"/>
      <c r="F9" s="24"/>
    </row>
    <row r="10" customFormat="false" ht="18.75" hidden="false" customHeight="true" outlineLevel="0" collapsed="false">
      <c r="A10" s="26"/>
      <c r="B10" s="23" t="n">
        <v>4</v>
      </c>
      <c r="C10" s="24" t="s">
        <v>49</v>
      </c>
      <c r="D10" s="25" t="s">
        <v>47</v>
      </c>
      <c r="E10" s="24"/>
      <c r="F10" s="24"/>
    </row>
    <row r="11" customFormat="false" ht="18.75" hidden="false" customHeight="true" outlineLevel="0" collapsed="false">
      <c r="A11" s="26"/>
      <c r="B11" s="23" t="n">
        <v>5</v>
      </c>
      <c r="C11" s="24" t="s">
        <v>50</v>
      </c>
      <c r="D11" s="25" t="s">
        <v>47</v>
      </c>
      <c r="E11" s="24"/>
      <c r="F11" s="24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customFormat="false" ht="16.5" hidden="false" customHeight="true" outlineLevel="0" collapsed="false">
      <c r="A12" s="26"/>
      <c r="B12" s="23" t="n">
        <v>6</v>
      </c>
      <c r="C12" s="24" t="s">
        <v>51</v>
      </c>
      <c r="D12" s="25" t="s">
        <v>47</v>
      </c>
      <c r="E12" s="24"/>
      <c r="F12" s="24"/>
    </row>
    <row r="13" customFormat="false" ht="18.75" hidden="false" customHeight="true" outlineLevel="0" collapsed="false">
      <c r="A13" s="26"/>
      <c r="B13" s="20"/>
      <c r="C13" s="21" t="s">
        <v>14</v>
      </c>
      <c r="D13" s="22"/>
      <c r="E13" s="22"/>
      <c r="F13" s="22"/>
      <c r="G13" s="6" t="n">
        <f aca="false">COUNTIF(D14:D18,"Sim")</f>
        <v>4</v>
      </c>
      <c r="H13" s="6" t="n">
        <f aca="false">COUNTIF(D14:D18,"Parcialmente")</f>
        <v>0</v>
      </c>
      <c r="I13" s="6" t="n">
        <f aca="false">COUNTIF(D14:D18,"Não")</f>
        <v>0</v>
      </c>
      <c r="J13" s="6" t="n">
        <f aca="false">COUNTIF(D14:D18,"NA")</f>
        <v>1</v>
      </c>
    </row>
    <row r="14" customFormat="false" ht="18.75" hidden="false" customHeight="true" outlineLevel="0" collapsed="false">
      <c r="A14" s="26"/>
      <c r="B14" s="30" t="n">
        <v>7</v>
      </c>
      <c r="C14" s="28" t="s">
        <v>46</v>
      </c>
      <c r="D14" s="25" t="s">
        <v>47</v>
      </c>
      <c r="E14" s="24"/>
      <c r="F14" s="24"/>
    </row>
    <row r="15" customFormat="false" ht="18.75" hidden="false" customHeight="true" outlineLevel="0" collapsed="false">
      <c r="A15" s="26"/>
      <c r="B15" s="23" t="n">
        <v>8</v>
      </c>
      <c r="C15" s="24" t="s">
        <v>52</v>
      </c>
      <c r="D15" s="25" t="s">
        <v>47</v>
      </c>
      <c r="E15" s="24"/>
      <c r="F15" s="24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</row>
    <row r="16" customFormat="false" ht="18.75" hidden="false" customHeight="true" outlineLevel="0" collapsed="false">
      <c r="A16" s="26"/>
      <c r="B16" s="23" t="n">
        <v>9</v>
      </c>
      <c r="C16" s="24" t="s">
        <v>53</v>
      </c>
      <c r="D16" s="25" t="s">
        <v>47</v>
      </c>
      <c r="E16" s="24"/>
      <c r="F16" s="24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customFormat="false" ht="18.75" hidden="false" customHeight="true" outlineLevel="0" collapsed="false">
      <c r="A17" s="26"/>
      <c r="B17" s="30" t="n">
        <v>10</v>
      </c>
      <c r="C17" s="28" t="s">
        <v>54</v>
      </c>
      <c r="D17" s="25" t="s">
        <v>43</v>
      </c>
      <c r="E17" s="24"/>
      <c r="F17" s="24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</row>
    <row r="18" customFormat="false" ht="18.75" hidden="false" customHeight="true" outlineLevel="0" collapsed="false">
      <c r="A18" s="26"/>
      <c r="B18" s="23" t="n">
        <v>11</v>
      </c>
      <c r="C18" s="24" t="s">
        <v>55</v>
      </c>
      <c r="D18" s="25" t="s">
        <v>47</v>
      </c>
      <c r="E18" s="24"/>
      <c r="F18" s="24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customFormat="false" ht="18.75" hidden="false" customHeight="true" outlineLevel="0" collapsed="false">
      <c r="A19" s="26"/>
      <c r="B19" s="20"/>
      <c r="C19" s="21" t="s">
        <v>56</v>
      </c>
      <c r="D19" s="22"/>
      <c r="E19" s="22"/>
      <c r="F19" s="22"/>
      <c r="G19" s="6" t="n">
        <f aca="false">COUNTIF(D20:D21,"Sim")</f>
        <v>0</v>
      </c>
      <c r="H19" s="6" t="n">
        <f aca="false">COUNTIF(D20:D21,"Parcialmente")</f>
        <v>0</v>
      </c>
      <c r="I19" s="6" t="n">
        <f aca="false">COUNTIF(D20:D21,"Não")</f>
        <v>0</v>
      </c>
      <c r="J19" s="6" t="n">
        <f aca="false">COUNTIF(D20:D21,"NA")</f>
        <v>2</v>
      </c>
    </row>
    <row r="20" customFormat="false" ht="18.75" hidden="false" customHeight="true" outlineLevel="0" collapsed="false">
      <c r="A20" s="26"/>
      <c r="B20" s="30" t="n">
        <v>12</v>
      </c>
      <c r="C20" s="28" t="s">
        <v>57</v>
      </c>
      <c r="D20" s="25" t="s">
        <v>43</v>
      </c>
      <c r="E20" s="24"/>
      <c r="F20" s="24"/>
    </row>
    <row r="21" customFormat="false" ht="18.75" hidden="false" customHeight="true" outlineLevel="0" collapsed="false">
      <c r="A21" s="26"/>
      <c r="B21" s="23" t="n">
        <v>13</v>
      </c>
      <c r="C21" s="24" t="s">
        <v>58</v>
      </c>
      <c r="D21" s="25" t="s">
        <v>43</v>
      </c>
      <c r="E21" s="24"/>
      <c r="F21" s="24"/>
    </row>
    <row r="22" customFormat="false" ht="18.75" hidden="false" customHeight="true" outlineLevel="0" collapsed="false">
      <c r="A22" s="26"/>
      <c r="B22" s="20"/>
      <c r="C22" s="21" t="s">
        <v>16</v>
      </c>
      <c r="D22" s="22"/>
      <c r="E22" s="22"/>
      <c r="F22" s="22"/>
      <c r="G22" s="6" t="n">
        <f aca="false">COUNTIF(D23:D24,"Sim")</f>
        <v>0</v>
      </c>
      <c r="H22" s="6" t="n">
        <f aca="false">COUNTIF(D23:D24,"Parcialmente")</f>
        <v>0</v>
      </c>
      <c r="I22" s="6" t="n">
        <f aca="false">COUNTIF(D23:D24,"Não")</f>
        <v>0</v>
      </c>
      <c r="J22" s="6" t="n">
        <f aca="false">COUNTIF(D23:D24,"NA")</f>
        <v>2</v>
      </c>
    </row>
    <row r="23" customFormat="false" ht="18.75" hidden="false" customHeight="true" outlineLevel="0" collapsed="false">
      <c r="A23" s="26"/>
      <c r="B23" s="30" t="n">
        <v>14</v>
      </c>
      <c r="C23" s="28" t="s">
        <v>46</v>
      </c>
      <c r="D23" s="25" t="s">
        <v>43</v>
      </c>
      <c r="E23" s="24"/>
      <c r="F23" s="24"/>
    </row>
    <row r="24" customFormat="false" ht="18.75" hidden="false" customHeight="true" outlineLevel="0" collapsed="false">
      <c r="A24" s="26"/>
      <c r="B24" s="23" t="n">
        <v>15</v>
      </c>
      <c r="C24" s="24" t="s">
        <v>59</v>
      </c>
      <c r="D24" s="25" t="s">
        <v>43</v>
      </c>
      <c r="E24" s="24"/>
      <c r="F24" s="24"/>
    </row>
    <row r="25" customFormat="false" ht="18.75" hidden="false" customHeight="true" outlineLevel="0" collapsed="false">
      <c r="A25" s="26"/>
      <c r="B25" s="20"/>
      <c r="C25" s="21" t="s">
        <v>17</v>
      </c>
      <c r="D25" s="22"/>
      <c r="E25" s="22"/>
      <c r="F25" s="22"/>
      <c r="G25" s="6" t="n">
        <f aca="false">COUNTIF(D26:D27,"Sim")</f>
        <v>0</v>
      </c>
      <c r="H25" s="6" t="n">
        <f aca="false">COUNTIF(D26:D27,"Parcialmente")</f>
        <v>0</v>
      </c>
      <c r="I25" s="6" t="n">
        <f aca="false">COUNTIF(D26:D27,"Não")</f>
        <v>0</v>
      </c>
      <c r="J25" s="6" t="n">
        <f aca="false">COUNTIF(D26:D27,"NA")</f>
        <v>2</v>
      </c>
    </row>
    <row r="26" customFormat="false" ht="18.75" hidden="false" customHeight="true" outlineLevel="0" collapsed="false">
      <c r="A26" s="26"/>
      <c r="B26" s="30" t="n">
        <v>16</v>
      </c>
      <c r="C26" s="28" t="s">
        <v>46</v>
      </c>
      <c r="D26" s="25" t="s">
        <v>43</v>
      </c>
      <c r="E26" s="24"/>
      <c r="F26" s="24"/>
    </row>
    <row r="27" customFormat="false" ht="18.75" hidden="false" customHeight="true" outlineLevel="0" collapsed="false">
      <c r="A27" s="26"/>
      <c r="B27" s="23" t="n">
        <v>17</v>
      </c>
      <c r="C27" s="24" t="s">
        <v>60</v>
      </c>
      <c r="D27" s="25" t="s">
        <v>43</v>
      </c>
      <c r="E27" s="24"/>
      <c r="F27" s="24"/>
    </row>
    <row r="28" customFormat="false" ht="18.75" hidden="false" customHeight="true" outlineLevel="0" collapsed="false">
      <c r="A28" s="31"/>
      <c r="B28" s="20"/>
      <c r="C28" s="21" t="s">
        <v>23</v>
      </c>
      <c r="D28" s="22"/>
      <c r="E28" s="22"/>
      <c r="F28" s="22"/>
      <c r="G28" s="6" t="n">
        <f aca="false">COUNTIF(D29:D36,"Sim")</f>
        <v>8</v>
      </c>
      <c r="H28" s="6" t="n">
        <f aca="false">COUNTIF(D29:D36,"Parcialmente")</f>
        <v>0</v>
      </c>
      <c r="I28" s="6" t="n">
        <f aca="false">COUNTIF(D29:D36,"Não")</f>
        <v>0</v>
      </c>
      <c r="J28" s="6" t="n">
        <f aca="false">COUNTIF(D29:D36,"NA")</f>
        <v>0</v>
      </c>
    </row>
    <row r="29" customFormat="false" ht="18.75" hidden="false" customHeight="true" outlineLevel="0" collapsed="false">
      <c r="A29" s="31"/>
      <c r="B29" s="30" t="n">
        <v>21</v>
      </c>
      <c r="C29" s="28" t="s">
        <v>46</v>
      </c>
      <c r="D29" s="25" t="s">
        <v>47</v>
      </c>
      <c r="E29" s="24"/>
      <c r="F29" s="24"/>
    </row>
    <row r="30" customFormat="false" ht="18.75" hidden="false" customHeight="true" outlineLevel="0" collapsed="false">
      <c r="A30" s="31"/>
      <c r="B30" s="23" t="n">
        <v>22</v>
      </c>
      <c r="C30" s="24" t="s">
        <v>61</v>
      </c>
      <c r="D30" s="25" t="s">
        <v>47</v>
      </c>
      <c r="E30" s="24"/>
      <c r="F30" s="24"/>
    </row>
    <row r="31" customFormat="false" ht="18.75" hidden="false" customHeight="true" outlineLevel="0" collapsed="false">
      <c r="A31" s="31"/>
      <c r="B31" s="23" t="n">
        <v>23</v>
      </c>
      <c r="C31" s="24" t="s">
        <v>62</v>
      </c>
      <c r="D31" s="25" t="s">
        <v>47</v>
      </c>
      <c r="E31" s="24"/>
      <c r="F31" s="24"/>
    </row>
    <row r="32" customFormat="false" ht="18.75" hidden="false" customHeight="true" outlineLevel="0" collapsed="false">
      <c r="A32" s="31"/>
      <c r="B32" s="23" t="n">
        <v>24</v>
      </c>
      <c r="C32" s="24" t="s">
        <v>63</v>
      </c>
      <c r="D32" s="25" t="s">
        <v>47</v>
      </c>
      <c r="E32" s="24"/>
      <c r="F32" s="24"/>
    </row>
    <row r="33" customFormat="false" ht="18.75" hidden="false" customHeight="true" outlineLevel="0" collapsed="false">
      <c r="A33" s="31"/>
      <c r="B33" s="23" t="n">
        <v>25</v>
      </c>
      <c r="C33" s="24" t="s">
        <v>64</v>
      </c>
      <c r="D33" s="25" t="s">
        <v>47</v>
      </c>
      <c r="E33" s="24"/>
      <c r="F33" s="24"/>
    </row>
    <row r="34" customFormat="false" ht="18.75" hidden="false" customHeight="true" outlineLevel="0" collapsed="false">
      <c r="A34" s="31"/>
      <c r="B34" s="23" t="n">
        <v>26</v>
      </c>
      <c r="C34" s="24" t="s">
        <v>65</v>
      </c>
      <c r="D34" s="25" t="s">
        <v>47</v>
      </c>
      <c r="F34" s="24"/>
    </row>
    <row r="35" customFormat="false" ht="15" hidden="false" customHeight="false" outlineLevel="0" collapsed="false">
      <c r="A35" s="31"/>
      <c r="B35" s="23" t="n">
        <v>27</v>
      </c>
      <c r="C35" s="24" t="s">
        <v>66</v>
      </c>
      <c r="D35" s="25" t="s">
        <v>47</v>
      </c>
      <c r="E35" s="24"/>
      <c r="F35" s="24"/>
    </row>
    <row r="36" customFormat="false" ht="18.75" hidden="false" customHeight="true" outlineLevel="0" collapsed="false">
      <c r="A36" s="31"/>
      <c r="B36" s="23" t="n">
        <v>28</v>
      </c>
      <c r="C36" s="24" t="s">
        <v>67</v>
      </c>
      <c r="D36" s="24" t="s">
        <v>47</v>
      </c>
      <c r="E36" s="24"/>
      <c r="F36" s="24"/>
    </row>
    <row r="37" customFormat="false" ht="15" hidden="false" customHeight="true" outlineLevel="0" collapsed="false">
      <c r="A37" s="32" t="s">
        <v>68</v>
      </c>
      <c r="B37" s="20"/>
      <c r="C37" s="21" t="s">
        <v>24</v>
      </c>
      <c r="D37" s="22"/>
      <c r="E37" s="22"/>
      <c r="F37" s="22"/>
      <c r="G37" s="6" t="n">
        <f aca="false">COUNTIF(D38:D41,"Sim")</f>
        <v>3</v>
      </c>
      <c r="H37" s="6" t="n">
        <f aca="false">COUNTIF(D38:D41,"Parcialmente")</f>
        <v>0</v>
      </c>
      <c r="I37" s="6" t="n">
        <f aca="false">COUNTIF(D38:D41,"Não")</f>
        <v>1</v>
      </c>
      <c r="J37" s="6" t="n">
        <f aca="false">COUNTIF(D38:D41,"NA")</f>
        <v>0</v>
      </c>
    </row>
    <row r="38" customFormat="false" ht="18.75" hidden="false" customHeight="true" outlineLevel="0" collapsed="false">
      <c r="A38" s="32"/>
      <c r="B38" s="30" t="n">
        <v>30</v>
      </c>
      <c r="C38" s="28" t="s">
        <v>69</v>
      </c>
      <c r="D38" s="25" t="s">
        <v>47</v>
      </c>
      <c r="E38" s="24"/>
      <c r="F38" s="24"/>
    </row>
    <row r="39" customFormat="false" ht="18.75" hidden="false" customHeight="true" outlineLevel="0" collapsed="false">
      <c r="A39" s="32"/>
      <c r="B39" s="23" t="n">
        <v>31</v>
      </c>
      <c r="C39" s="24" t="s">
        <v>70</v>
      </c>
      <c r="D39" s="25" t="s">
        <v>47</v>
      </c>
      <c r="E39" s="24"/>
      <c r="F39" s="24"/>
    </row>
    <row r="40" customFormat="false" ht="18.75" hidden="false" customHeight="true" outlineLevel="0" collapsed="false">
      <c r="A40" s="32"/>
      <c r="B40" s="23" t="n">
        <v>32</v>
      </c>
      <c r="C40" s="24" t="s">
        <v>71</v>
      </c>
      <c r="D40" s="25" t="s">
        <v>47</v>
      </c>
      <c r="E40" s="24"/>
      <c r="F40" s="24"/>
    </row>
    <row r="41" customFormat="false" ht="28.35" hidden="false" customHeight="false" outlineLevel="0" collapsed="false">
      <c r="A41" s="32"/>
      <c r="B41" s="23" t="n">
        <v>33</v>
      </c>
      <c r="C41" s="24" t="s">
        <v>72</v>
      </c>
      <c r="D41" s="25" t="s">
        <v>73</v>
      </c>
      <c r="E41" s="24" t="s">
        <v>74</v>
      </c>
      <c r="F41" s="24"/>
    </row>
    <row r="42" customFormat="false" ht="18.75" hidden="false" customHeight="true" outlineLevel="0" collapsed="false">
      <c r="B42" s="33"/>
      <c r="C42" s="29"/>
    </row>
    <row r="43" customFormat="false" ht="18.75" hidden="false" customHeight="true" outlineLevel="0" collapsed="false">
      <c r="B43" s="33"/>
      <c r="C43" s="29"/>
    </row>
    <row r="44" customFormat="false" ht="18.75" hidden="false" customHeight="true" outlineLevel="0" collapsed="false">
      <c r="B44" s="33"/>
      <c r="C44" s="29"/>
    </row>
    <row r="45" customFormat="false" ht="18.75" hidden="false" customHeight="true" outlineLevel="0" collapsed="false">
      <c r="B45" s="33"/>
      <c r="C45" s="29"/>
    </row>
    <row r="46" customFormat="false" ht="18.75" hidden="false" customHeight="true" outlineLevel="0" collapsed="false">
      <c r="B46" s="33"/>
      <c r="C46" s="29"/>
    </row>
    <row r="47" customFormat="false" ht="18.75" hidden="false" customHeight="true" outlineLevel="0" collapsed="false">
      <c r="B47" s="33"/>
      <c r="C47" s="29"/>
    </row>
    <row r="48" customFormat="false" ht="18.75" hidden="false" customHeight="true" outlineLevel="0" collapsed="false">
      <c r="B48" s="33"/>
      <c r="C48" s="29"/>
    </row>
    <row r="49" customFormat="false" ht="18.75" hidden="false" customHeight="true" outlineLevel="0" collapsed="false">
      <c r="B49" s="33"/>
      <c r="C49" s="29"/>
    </row>
    <row r="50" customFormat="false" ht="18.75" hidden="false" customHeight="true" outlineLevel="0" collapsed="false">
      <c r="B50" s="33"/>
      <c r="C50" s="29"/>
    </row>
    <row r="51" customFormat="false" ht="18.75" hidden="false" customHeight="true" outlineLevel="0" collapsed="false">
      <c r="B51" s="33"/>
      <c r="C51" s="29"/>
    </row>
    <row r="52" customFormat="false" ht="18.75" hidden="false" customHeight="true" outlineLevel="0" collapsed="false">
      <c r="B52" s="33"/>
      <c r="C52" s="29"/>
    </row>
    <row r="53" customFormat="false" ht="18.75" hidden="false" customHeight="true" outlineLevel="0" collapsed="false">
      <c r="B53" s="33"/>
      <c r="C53" s="29"/>
    </row>
    <row r="54" customFormat="false" ht="18.75" hidden="false" customHeight="true" outlineLevel="0" collapsed="false">
      <c r="B54" s="33"/>
      <c r="C54" s="29"/>
    </row>
    <row r="55" customFormat="false" ht="18.75" hidden="false" customHeight="true" outlineLevel="0" collapsed="false">
      <c r="B55" s="33"/>
      <c r="C55" s="29"/>
    </row>
    <row r="56" customFormat="false" ht="18.75" hidden="false" customHeight="true" outlineLevel="0" collapsed="false">
      <c r="B56" s="33"/>
      <c r="C56" s="29"/>
    </row>
    <row r="57" customFormat="false" ht="18.75" hidden="false" customHeight="true" outlineLevel="0" collapsed="false">
      <c r="B57" s="33"/>
      <c r="C57" s="29"/>
    </row>
    <row r="58" customFormat="false" ht="18.75" hidden="false" customHeight="true" outlineLevel="0" collapsed="false">
      <c r="B58" s="33"/>
      <c r="C58" s="29"/>
    </row>
    <row r="59" customFormat="false" ht="18.75" hidden="false" customHeight="true" outlineLevel="0" collapsed="false">
      <c r="B59" s="33"/>
      <c r="C59" s="29"/>
    </row>
    <row r="60" customFormat="false" ht="18.75" hidden="false" customHeight="true" outlineLevel="0" collapsed="false">
      <c r="B60" s="33"/>
      <c r="C60" s="29"/>
    </row>
    <row r="61" customFormat="false" ht="18.75" hidden="false" customHeight="true" outlineLevel="0" collapsed="false">
      <c r="B61" s="33"/>
      <c r="C61" s="29"/>
    </row>
    <row r="62" customFormat="false" ht="18.75" hidden="false" customHeight="true" outlineLevel="0" collapsed="false">
      <c r="B62" s="33"/>
      <c r="C62" s="29"/>
    </row>
    <row r="63" customFormat="false" ht="18.75" hidden="false" customHeight="true" outlineLevel="0" collapsed="false">
      <c r="B63" s="33"/>
      <c r="C63" s="29"/>
    </row>
    <row r="64" customFormat="false" ht="18.75" hidden="false" customHeight="true" outlineLevel="0" collapsed="false">
      <c r="B64" s="33"/>
      <c r="C64" s="29"/>
    </row>
    <row r="65" customFormat="false" ht="18.75" hidden="false" customHeight="true" outlineLevel="0" collapsed="false">
      <c r="B65" s="33"/>
      <c r="C65" s="29"/>
    </row>
    <row r="66" customFormat="false" ht="18.75" hidden="false" customHeight="true" outlineLevel="0" collapsed="false">
      <c r="B66" s="33"/>
      <c r="C66" s="29"/>
    </row>
    <row r="67" customFormat="false" ht="18.75" hidden="false" customHeight="true" outlineLevel="0" collapsed="false">
      <c r="B67" s="33"/>
      <c r="C67" s="29"/>
    </row>
    <row r="68" customFormat="false" ht="18.75" hidden="false" customHeight="true" outlineLevel="0" collapsed="false">
      <c r="B68" s="33"/>
      <c r="C68" s="29"/>
    </row>
    <row r="69" customFormat="false" ht="18.75" hidden="false" customHeight="true" outlineLevel="0" collapsed="false">
      <c r="B69" s="33"/>
      <c r="C69" s="29"/>
    </row>
    <row r="70" customFormat="false" ht="18.75" hidden="false" customHeight="true" outlineLevel="0" collapsed="false">
      <c r="B70" s="33"/>
      <c r="C70" s="29"/>
    </row>
    <row r="71" customFormat="false" ht="18.75" hidden="false" customHeight="true" outlineLevel="0" collapsed="false">
      <c r="B71" s="33"/>
      <c r="C71" s="29"/>
    </row>
    <row r="72" customFormat="false" ht="18.75" hidden="false" customHeight="true" outlineLevel="0" collapsed="false">
      <c r="B72" s="33"/>
      <c r="C72" s="29"/>
    </row>
    <row r="73" customFormat="false" ht="18.75" hidden="false" customHeight="true" outlineLevel="0" collapsed="false">
      <c r="B73" s="33"/>
      <c r="C73" s="29"/>
    </row>
    <row r="74" customFormat="false" ht="18.75" hidden="false" customHeight="true" outlineLevel="0" collapsed="false">
      <c r="B74" s="33"/>
      <c r="C74" s="29"/>
    </row>
    <row r="75" customFormat="false" ht="18.75" hidden="false" customHeight="true" outlineLevel="0" collapsed="false">
      <c r="B75" s="33"/>
      <c r="C75" s="29"/>
    </row>
    <row r="76" customFormat="false" ht="18.75" hidden="false" customHeight="true" outlineLevel="0" collapsed="false">
      <c r="B76" s="33"/>
      <c r="C76" s="29"/>
    </row>
    <row r="77" customFormat="false" ht="18.75" hidden="false" customHeight="true" outlineLevel="0" collapsed="false">
      <c r="B77" s="33"/>
      <c r="C77" s="29"/>
    </row>
    <row r="78" customFormat="false" ht="18.75" hidden="false" customHeight="true" outlineLevel="0" collapsed="false">
      <c r="B78" s="33"/>
      <c r="C78" s="29"/>
    </row>
    <row r="79" customFormat="false" ht="18.75" hidden="false" customHeight="true" outlineLevel="0" collapsed="false">
      <c r="B79" s="33"/>
      <c r="C79" s="29"/>
    </row>
    <row r="80" customFormat="false" ht="18.75" hidden="false" customHeight="true" outlineLevel="0" collapsed="false">
      <c r="B80" s="33"/>
      <c r="C80" s="29"/>
    </row>
    <row r="81" customFormat="false" ht="18.75" hidden="false" customHeight="true" outlineLevel="0" collapsed="false">
      <c r="B81" s="33"/>
      <c r="C81" s="29"/>
    </row>
    <row r="82" customFormat="false" ht="18.75" hidden="false" customHeight="true" outlineLevel="0" collapsed="false">
      <c r="B82" s="33"/>
      <c r="C82" s="29"/>
    </row>
    <row r="83" customFormat="false" ht="18.75" hidden="false" customHeight="true" outlineLevel="0" collapsed="false">
      <c r="B83" s="33"/>
      <c r="C83" s="29"/>
    </row>
    <row r="84" customFormat="false" ht="18.75" hidden="false" customHeight="true" outlineLevel="0" collapsed="false">
      <c r="B84" s="33"/>
      <c r="C84" s="29"/>
    </row>
    <row r="85" customFormat="false" ht="18.75" hidden="false" customHeight="true" outlineLevel="0" collapsed="false">
      <c r="B85" s="33"/>
      <c r="C85" s="29"/>
    </row>
    <row r="86" customFormat="false" ht="18.75" hidden="false" customHeight="true" outlineLevel="0" collapsed="false">
      <c r="B86" s="33"/>
      <c r="C86" s="29"/>
    </row>
    <row r="87" customFormat="false" ht="18.75" hidden="false" customHeight="true" outlineLevel="0" collapsed="false">
      <c r="B87" s="33"/>
      <c r="C87" s="29"/>
    </row>
    <row r="88" customFormat="false" ht="18.75" hidden="false" customHeight="true" outlineLevel="0" collapsed="false">
      <c r="B88" s="33"/>
      <c r="C88" s="29"/>
    </row>
    <row r="89" customFormat="false" ht="18.75" hidden="false" customHeight="true" outlineLevel="0" collapsed="false">
      <c r="B89" s="33"/>
      <c r="C89" s="29"/>
    </row>
    <row r="90" customFormat="false" ht="18.75" hidden="false" customHeight="true" outlineLevel="0" collapsed="false">
      <c r="B90" s="33"/>
      <c r="C90" s="29"/>
    </row>
    <row r="91" customFormat="false" ht="18.75" hidden="false" customHeight="true" outlineLevel="0" collapsed="false">
      <c r="B91" s="33"/>
      <c r="C91" s="29"/>
    </row>
    <row r="92" customFormat="false" ht="18.75" hidden="false" customHeight="true" outlineLevel="0" collapsed="false">
      <c r="B92" s="33"/>
      <c r="C92" s="29"/>
    </row>
    <row r="93" customFormat="false" ht="18.75" hidden="false" customHeight="true" outlineLevel="0" collapsed="false">
      <c r="B93" s="33"/>
      <c r="C93" s="29"/>
    </row>
    <row r="94" customFormat="false" ht="18.75" hidden="false" customHeight="true" outlineLevel="0" collapsed="false">
      <c r="B94" s="33"/>
      <c r="C94" s="29"/>
    </row>
    <row r="95" customFormat="false" ht="18.75" hidden="false" customHeight="true" outlineLevel="0" collapsed="false">
      <c r="B95" s="33"/>
      <c r="C95" s="29"/>
    </row>
    <row r="96" customFormat="false" ht="18.75" hidden="false" customHeight="true" outlineLevel="0" collapsed="false">
      <c r="B96" s="33"/>
      <c r="C96" s="29"/>
    </row>
    <row r="97" customFormat="false" ht="18.75" hidden="false" customHeight="true" outlineLevel="0" collapsed="false">
      <c r="B97" s="33"/>
      <c r="C97" s="29"/>
    </row>
    <row r="98" customFormat="false" ht="18.75" hidden="false" customHeight="true" outlineLevel="0" collapsed="false">
      <c r="B98" s="33"/>
      <c r="C98" s="29"/>
    </row>
    <row r="99" customFormat="false" ht="18.75" hidden="false" customHeight="true" outlineLevel="0" collapsed="false">
      <c r="B99" s="33"/>
      <c r="C99" s="29"/>
    </row>
    <row r="100" customFormat="false" ht="18.75" hidden="false" customHeight="true" outlineLevel="0" collapsed="false">
      <c r="B100" s="33"/>
      <c r="C100" s="29"/>
    </row>
    <row r="101" customFormat="false" ht="18.75" hidden="false" customHeight="true" outlineLevel="0" collapsed="false">
      <c r="B101" s="33"/>
      <c r="C101" s="29"/>
    </row>
    <row r="102" customFormat="false" ht="18.75" hidden="false" customHeight="true" outlineLevel="0" collapsed="false">
      <c r="B102" s="33"/>
      <c r="C102" s="29"/>
    </row>
    <row r="103" customFormat="false" ht="18.75" hidden="false" customHeight="true" outlineLevel="0" collapsed="false">
      <c r="B103" s="33"/>
      <c r="C103" s="29"/>
    </row>
    <row r="104" customFormat="false" ht="18.75" hidden="false" customHeight="true" outlineLevel="0" collapsed="false">
      <c r="B104" s="33"/>
      <c r="C104" s="29"/>
    </row>
    <row r="105" customFormat="false" ht="18.75" hidden="false" customHeight="true" outlineLevel="0" collapsed="false">
      <c r="B105" s="33"/>
      <c r="C105" s="29"/>
    </row>
    <row r="106" customFormat="false" ht="18.75" hidden="false" customHeight="true" outlineLevel="0" collapsed="false">
      <c r="B106" s="33"/>
      <c r="C106" s="29"/>
    </row>
    <row r="107" customFormat="false" ht="18.75" hidden="false" customHeight="true" outlineLevel="0" collapsed="false">
      <c r="B107" s="33"/>
      <c r="C107" s="29"/>
    </row>
    <row r="108" customFormat="false" ht="18.75" hidden="false" customHeight="true" outlineLevel="0" collapsed="false">
      <c r="B108" s="33"/>
      <c r="C108" s="29"/>
    </row>
    <row r="109" customFormat="false" ht="18.75" hidden="false" customHeight="true" outlineLevel="0" collapsed="false">
      <c r="B109" s="33"/>
      <c r="C109" s="29"/>
    </row>
    <row r="110" customFormat="false" ht="18.75" hidden="false" customHeight="true" outlineLevel="0" collapsed="false">
      <c r="B110" s="33"/>
      <c r="C110" s="29"/>
    </row>
    <row r="111" customFormat="false" ht="18.75" hidden="false" customHeight="true" outlineLevel="0" collapsed="false">
      <c r="B111" s="33"/>
      <c r="C111" s="29"/>
    </row>
    <row r="112" customFormat="false" ht="18.75" hidden="false" customHeight="true" outlineLevel="0" collapsed="false">
      <c r="B112" s="33"/>
      <c r="C112" s="29"/>
    </row>
    <row r="113" customFormat="false" ht="18.75" hidden="false" customHeight="true" outlineLevel="0" collapsed="false">
      <c r="B113" s="33"/>
      <c r="C113" s="29"/>
    </row>
    <row r="114" customFormat="false" ht="18.75" hidden="false" customHeight="true" outlineLevel="0" collapsed="false">
      <c r="B114" s="33"/>
      <c r="C114" s="29"/>
    </row>
    <row r="115" customFormat="false" ht="18.75" hidden="false" customHeight="true" outlineLevel="0" collapsed="false">
      <c r="B115" s="33"/>
      <c r="C115" s="29"/>
    </row>
    <row r="116" customFormat="false" ht="18.75" hidden="false" customHeight="true" outlineLevel="0" collapsed="false">
      <c r="B116" s="33"/>
      <c r="C116" s="29"/>
    </row>
    <row r="117" customFormat="false" ht="18.75" hidden="false" customHeight="true" outlineLevel="0" collapsed="false">
      <c r="B117" s="33"/>
      <c r="C117" s="29"/>
    </row>
    <row r="118" customFormat="false" ht="18.75" hidden="false" customHeight="true" outlineLevel="0" collapsed="false">
      <c r="B118" s="33"/>
      <c r="C118" s="29"/>
    </row>
    <row r="119" customFormat="false" ht="18.75" hidden="false" customHeight="true" outlineLevel="0" collapsed="false">
      <c r="B119" s="33"/>
      <c r="C119" s="29"/>
    </row>
    <row r="120" customFormat="false" ht="18.75" hidden="false" customHeight="true" outlineLevel="0" collapsed="false">
      <c r="B120" s="33"/>
      <c r="C120" s="29"/>
    </row>
    <row r="121" customFormat="false" ht="18.75" hidden="false" customHeight="true" outlineLevel="0" collapsed="false">
      <c r="B121" s="33"/>
      <c r="C121" s="29"/>
    </row>
    <row r="122" customFormat="false" ht="18.75" hidden="false" customHeight="true" outlineLevel="0" collapsed="false">
      <c r="B122" s="33"/>
      <c r="C122" s="29"/>
    </row>
    <row r="123" customFormat="false" ht="18.75" hidden="false" customHeight="true" outlineLevel="0" collapsed="false">
      <c r="B123" s="33"/>
      <c r="C123" s="29"/>
    </row>
    <row r="124" customFormat="false" ht="18.75" hidden="false" customHeight="true" outlineLevel="0" collapsed="false">
      <c r="B124" s="33"/>
      <c r="C124" s="29"/>
    </row>
    <row r="125" customFormat="false" ht="18.75" hidden="false" customHeight="true" outlineLevel="0" collapsed="false">
      <c r="B125" s="33"/>
      <c r="C125" s="29"/>
    </row>
    <row r="126" customFormat="false" ht="18.75" hidden="false" customHeight="true" outlineLevel="0" collapsed="false">
      <c r="B126" s="33"/>
      <c r="C126" s="29"/>
    </row>
    <row r="127" customFormat="false" ht="18.75" hidden="false" customHeight="true" outlineLevel="0" collapsed="false">
      <c r="B127" s="33"/>
      <c r="C127" s="29"/>
    </row>
    <row r="128" customFormat="false" ht="18.75" hidden="false" customHeight="true" outlineLevel="0" collapsed="false">
      <c r="B128" s="33"/>
      <c r="C128" s="29"/>
    </row>
    <row r="129" customFormat="false" ht="18.75" hidden="false" customHeight="true" outlineLevel="0" collapsed="false">
      <c r="B129" s="33"/>
      <c r="C129" s="29"/>
    </row>
    <row r="130" customFormat="false" ht="18.75" hidden="false" customHeight="true" outlineLevel="0" collapsed="false">
      <c r="B130" s="33"/>
      <c r="C130" s="29"/>
    </row>
    <row r="131" customFormat="false" ht="18.75" hidden="false" customHeight="true" outlineLevel="0" collapsed="false">
      <c r="B131" s="33"/>
      <c r="C131" s="29"/>
    </row>
    <row r="132" customFormat="false" ht="18.75" hidden="false" customHeight="true" outlineLevel="0" collapsed="false">
      <c r="B132" s="33"/>
      <c r="C132" s="29"/>
    </row>
    <row r="133" customFormat="false" ht="18.75" hidden="false" customHeight="true" outlineLevel="0" collapsed="false">
      <c r="B133" s="33"/>
      <c r="C133" s="29"/>
    </row>
    <row r="134" customFormat="false" ht="18.75" hidden="false" customHeight="true" outlineLevel="0" collapsed="false">
      <c r="B134" s="33"/>
      <c r="C134" s="29"/>
    </row>
    <row r="135" customFormat="false" ht="18.75" hidden="false" customHeight="true" outlineLevel="0" collapsed="false">
      <c r="B135" s="33"/>
      <c r="C135" s="29"/>
    </row>
    <row r="136" customFormat="false" ht="18.75" hidden="false" customHeight="true" outlineLevel="0" collapsed="false">
      <c r="B136" s="33"/>
      <c r="C136" s="29"/>
    </row>
    <row r="137" customFormat="false" ht="18.75" hidden="false" customHeight="true" outlineLevel="0" collapsed="false">
      <c r="B137" s="33"/>
      <c r="C137" s="29"/>
    </row>
    <row r="138" customFormat="false" ht="18.75" hidden="false" customHeight="true" outlineLevel="0" collapsed="false">
      <c r="B138" s="33"/>
      <c r="C138" s="29"/>
    </row>
    <row r="139" customFormat="false" ht="18.75" hidden="false" customHeight="true" outlineLevel="0" collapsed="false">
      <c r="B139" s="33"/>
      <c r="C139" s="29"/>
    </row>
    <row r="140" customFormat="false" ht="18.75" hidden="false" customHeight="true" outlineLevel="0" collapsed="false">
      <c r="B140" s="33"/>
      <c r="C140" s="29"/>
    </row>
    <row r="141" customFormat="false" ht="18.75" hidden="false" customHeight="true" outlineLevel="0" collapsed="false">
      <c r="B141" s="33"/>
      <c r="C141" s="29"/>
    </row>
    <row r="142" customFormat="false" ht="18.75" hidden="false" customHeight="true" outlineLevel="0" collapsed="false">
      <c r="B142" s="33"/>
      <c r="C142" s="29"/>
    </row>
    <row r="143" customFormat="false" ht="18.75" hidden="false" customHeight="true" outlineLevel="0" collapsed="false">
      <c r="B143" s="33"/>
      <c r="C143" s="29"/>
    </row>
    <row r="144" customFormat="false" ht="18.75" hidden="false" customHeight="true" outlineLevel="0" collapsed="false">
      <c r="B144" s="33"/>
      <c r="C144" s="29"/>
    </row>
    <row r="145" customFormat="false" ht="18.75" hidden="false" customHeight="true" outlineLevel="0" collapsed="false">
      <c r="B145" s="33"/>
      <c r="C145" s="29"/>
    </row>
    <row r="146" customFormat="false" ht="18.75" hidden="false" customHeight="true" outlineLevel="0" collapsed="false">
      <c r="B146" s="33"/>
      <c r="C146" s="29"/>
    </row>
    <row r="147" customFormat="false" ht="18.75" hidden="false" customHeight="true" outlineLevel="0" collapsed="false">
      <c r="B147" s="33"/>
      <c r="C147" s="29"/>
    </row>
    <row r="148" customFormat="false" ht="18.75" hidden="false" customHeight="true" outlineLevel="0" collapsed="false">
      <c r="B148" s="33"/>
      <c r="C148" s="29"/>
    </row>
    <row r="149" customFormat="false" ht="18.75" hidden="false" customHeight="true" outlineLevel="0" collapsed="false">
      <c r="B149" s="33"/>
      <c r="C149" s="29"/>
    </row>
    <row r="150" customFormat="false" ht="18.75" hidden="false" customHeight="true" outlineLevel="0" collapsed="false">
      <c r="B150" s="33"/>
      <c r="C150" s="29"/>
    </row>
    <row r="151" customFormat="false" ht="18.75" hidden="false" customHeight="true" outlineLevel="0" collapsed="false">
      <c r="B151" s="33"/>
      <c r="C151" s="29"/>
    </row>
    <row r="152" customFormat="false" ht="18.75" hidden="false" customHeight="true" outlineLevel="0" collapsed="false">
      <c r="B152" s="33"/>
      <c r="C152" s="29"/>
    </row>
    <row r="153" customFormat="false" ht="18.75" hidden="false" customHeight="true" outlineLevel="0" collapsed="false">
      <c r="B153" s="33"/>
      <c r="C153" s="29"/>
    </row>
    <row r="154" customFormat="false" ht="18.75" hidden="false" customHeight="true" outlineLevel="0" collapsed="false">
      <c r="B154" s="33"/>
      <c r="C154" s="29"/>
    </row>
    <row r="155" customFormat="false" ht="18.75" hidden="false" customHeight="true" outlineLevel="0" collapsed="false">
      <c r="B155" s="33"/>
      <c r="C155" s="29"/>
    </row>
    <row r="156" customFormat="false" ht="18.75" hidden="false" customHeight="true" outlineLevel="0" collapsed="false">
      <c r="B156" s="33"/>
      <c r="C156" s="29"/>
    </row>
    <row r="157" customFormat="false" ht="18.75" hidden="false" customHeight="true" outlineLevel="0" collapsed="false">
      <c r="B157" s="33"/>
      <c r="C157" s="29"/>
    </row>
    <row r="158" customFormat="false" ht="18.75" hidden="false" customHeight="true" outlineLevel="0" collapsed="false">
      <c r="B158" s="33"/>
      <c r="C158" s="29"/>
    </row>
    <row r="159" customFormat="false" ht="18.75" hidden="false" customHeight="true" outlineLevel="0" collapsed="false">
      <c r="B159" s="33"/>
      <c r="C159" s="29"/>
    </row>
    <row r="160" customFormat="false" ht="18.75" hidden="false" customHeight="true" outlineLevel="0" collapsed="false">
      <c r="B160" s="33"/>
      <c r="C160" s="29"/>
    </row>
    <row r="161" customFormat="false" ht="18.75" hidden="false" customHeight="true" outlineLevel="0" collapsed="false">
      <c r="B161" s="33"/>
      <c r="C161" s="29"/>
    </row>
    <row r="162" customFormat="false" ht="18.75" hidden="false" customHeight="true" outlineLevel="0" collapsed="false">
      <c r="B162" s="33"/>
      <c r="C162" s="29"/>
    </row>
    <row r="163" customFormat="false" ht="18.75" hidden="false" customHeight="true" outlineLevel="0" collapsed="false">
      <c r="B163" s="33"/>
      <c r="C163" s="29"/>
    </row>
    <row r="164" customFormat="false" ht="18.75" hidden="false" customHeight="true" outlineLevel="0" collapsed="false">
      <c r="B164" s="33"/>
      <c r="C164" s="29"/>
    </row>
    <row r="165" customFormat="false" ht="18.75" hidden="false" customHeight="true" outlineLevel="0" collapsed="false">
      <c r="B165" s="33"/>
      <c r="C165" s="29"/>
    </row>
    <row r="166" customFormat="false" ht="18.75" hidden="false" customHeight="true" outlineLevel="0" collapsed="false">
      <c r="B166" s="33"/>
      <c r="C166" s="29"/>
    </row>
    <row r="167" customFormat="false" ht="18.75" hidden="false" customHeight="true" outlineLevel="0" collapsed="false">
      <c r="B167" s="33"/>
      <c r="C167" s="29"/>
    </row>
    <row r="168" customFormat="false" ht="18.75" hidden="false" customHeight="true" outlineLevel="0" collapsed="false">
      <c r="B168" s="33"/>
      <c r="C168" s="29"/>
    </row>
    <row r="169" customFormat="false" ht="18.75" hidden="false" customHeight="true" outlineLevel="0" collapsed="false">
      <c r="B169" s="33"/>
      <c r="C169" s="29"/>
    </row>
    <row r="170" customFormat="false" ht="18.75" hidden="false" customHeight="true" outlineLevel="0" collapsed="false">
      <c r="B170" s="33"/>
      <c r="C170" s="29"/>
    </row>
    <row r="171" customFormat="false" ht="18.75" hidden="false" customHeight="true" outlineLevel="0" collapsed="false">
      <c r="B171" s="33"/>
      <c r="C171" s="29"/>
    </row>
    <row r="172" customFormat="false" ht="18.75" hidden="false" customHeight="true" outlineLevel="0" collapsed="false">
      <c r="B172" s="33"/>
      <c r="C172" s="29"/>
    </row>
    <row r="173" customFormat="false" ht="18.75" hidden="false" customHeight="true" outlineLevel="0" collapsed="false">
      <c r="B173" s="33"/>
      <c r="C173" s="29"/>
    </row>
    <row r="174" customFormat="false" ht="18.75" hidden="false" customHeight="true" outlineLevel="0" collapsed="false">
      <c r="B174" s="33"/>
      <c r="C174" s="29"/>
    </row>
    <row r="175" customFormat="false" ht="18.75" hidden="false" customHeight="true" outlineLevel="0" collapsed="false">
      <c r="B175" s="33"/>
      <c r="C175" s="29"/>
    </row>
    <row r="176" customFormat="false" ht="18.75" hidden="false" customHeight="true" outlineLevel="0" collapsed="false">
      <c r="B176" s="33"/>
      <c r="C176" s="29"/>
    </row>
    <row r="177" customFormat="false" ht="18.75" hidden="false" customHeight="true" outlineLevel="0" collapsed="false">
      <c r="B177" s="33"/>
      <c r="C177" s="29"/>
    </row>
    <row r="178" customFormat="false" ht="18.75" hidden="false" customHeight="true" outlineLevel="0" collapsed="false">
      <c r="B178" s="33"/>
      <c r="C178" s="29"/>
    </row>
    <row r="179" customFormat="false" ht="18.75" hidden="false" customHeight="true" outlineLevel="0" collapsed="false">
      <c r="B179" s="33"/>
      <c r="C179" s="29"/>
    </row>
    <row r="180" customFormat="false" ht="18.75" hidden="false" customHeight="true" outlineLevel="0" collapsed="false">
      <c r="B180" s="33"/>
      <c r="C180" s="29"/>
    </row>
    <row r="181" customFormat="false" ht="18.75" hidden="false" customHeight="true" outlineLevel="0" collapsed="false">
      <c r="B181" s="33"/>
      <c r="C181" s="29"/>
    </row>
    <row r="182" customFormat="false" ht="18.75" hidden="false" customHeight="true" outlineLevel="0" collapsed="false">
      <c r="B182" s="33"/>
      <c r="C182" s="29"/>
    </row>
    <row r="183" customFormat="false" ht="18.75" hidden="false" customHeight="true" outlineLevel="0" collapsed="false">
      <c r="B183" s="33"/>
      <c r="C183" s="29"/>
    </row>
    <row r="184" customFormat="false" ht="18.75" hidden="false" customHeight="true" outlineLevel="0" collapsed="false">
      <c r="B184" s="33"/>
      <c r="C184" s="29"/>
    </row>
    <row r="185" customFormat="false" ht="18.75" hidden="false" customHeight="true" outlineLevel="0" collapsed="false">
      <c r="B185" s="33"/>
      <c r="C185" s="29"/>
    </row>
    <row r="186" customFormat="false" ht="18.75" hidden="false" customHeight="true" outlineLevel="0" collapsed="false">
      <c r="B186" s="33"/>
      <c r="C186" s="29"/>
    </row>
    <row r="187" customFormat="false" ht="18.75" hidden="false" customHeight="true" outlineLevel="0" collapsed="false">
      <c r="B187" s="33"/>
      <c r="C187" s="29"/>
    </row>
    <row r="188" customFormat="false" ht="18.75" hidden="false" customHeight="true" outlineLevel="0" collapsed="false">
      <c r="B188" s="33"/>
      <c r="C188" s="29"/>
    </row>
    <row r="189" customFormat="false" ht="18.75" hidden="false" customHeight="true" outlineLevel="0" collapsed="false">
      <c r="B189" s="33"/>
      <c r="C189" s="29"/>
    </row>
    <row r="190" customFormat="false" ht="18.75" hidden="false" customHeight="true" outlineLevel="0" collapsed="false">
      <c r="B190" s="33"/>
      <c r="C190" s="29"/>
    </row>
    <row r="191" customFormat="false" ht="18.75" hidden="false" customHeight="true" outlineLevel="0" collapsed="false">
      <c r="B191" s="33"/>
      <c r="C191" s="29"/>
    </row>
    <row r="192" customFormat="false" ht="18.75" hidden="false" customHeight="true" outlineLevel="0" collapsed="false">
      <c r="B192" s="33"/>
      <c r="C192" s="29"/>
    </row>
    <row r="193" customFormat="false" ht="18.75" hidden="false" customHeight="true" outlineLevel="0" collapsed="false">
      <c r="B193" s="33"/>
      <c r="C193" s="29"/>
    </row>
    <row r="194" customFormat="false" ht="18.75" hidden="false" customHeight="true" outlineLevel="0" collapsed="false">
      <c r="B194" s="33"/>
      <c r="C194" s="29"/>
    </row>
    <row r="195" customFormat="false" ht="18.75" hidden="false" customHeight="true" outlineLevel="0" collapsed="false">
      <c r="B195" s="33"/>
      <c r="C195" s="29"/>
    </row>
    <row r="196" customFormat="false" ht="18.75" hidden="false" customHeight="true" outlineLevel="0" collapsed="false">
      <c r="B196" s="33"/>
      <c r="C196" s="29"/>
    </row>
    <row r="197" customFormat="false" ht="18.75" hidden="false" customHeight="true" outlineLevel="0" collapsed="false">
      <c r="B197" s="33"/>
      <c r="C197" s="29"/>
    </row>
    <row r="198" customFormat="false" ht="18.75" hidden="false" customHeight="true" outlineLevel="0" collapsed="false">
      <c r="B198" s="33"/>
      <c r="C198" s="29"/>
    </row>
    <row r="199" customFormat="false" ht="18.75" hidden="false" customHeight="true" outlineLevel="0" collapsed="false">
      <c r="B199" s="33"/>
      <c r="C199" s="29"/>
    </row>
    <row r="200" customFormat="false" ht="18.75" hidden="false" customHeight="true" outlineLevel="0" collapsed="false">
      <c r="B200" s="33"/>
      <c r="C200" s="29"/>
    </row>
    <row r="201" customFormat="false" ht="18.75" hidden="false" customHeight="true" outlineLevel="0" collapsed="false">
      <c r="B201" s="33"/>
      <c r="C201" s="29"/>
    </row>
    <row r="202" customFormat="false" ht="18.75" hidden="false" customHeight="true" outlineLevel="0" collapsed="false">
      <c r="B202" s="33"/>
      <c r="C202" s="29"/>
    </row>
    <row r="203" customFormat="false" ht="18.75" hidden="false" customHeight="true" outlineLevel="0" collapsed="false">
      <c r="B203" s="33"/>
      <c r="C203" s="29"/>
    </row>
    <row r="204" customFormat="false" ht="18.75" hidden="false" customHeight="true" outlineLevel="0" collapsed="false">
      <c r="B204" s="33"/>
      <c r="C204" s="29"/>
    </row>
    <row r="205" customFormat="false" ht="18.75" hidden="false" customHeight="true" outlineLevel="0" collapsed="false">
      <c r="B205" s="33"/>
      <c r="C205" s="29"/>
    </row>
    <row r="206" customFormat="false" ht="18.75" hidden="false" customHeight="true" outlineLevel="0" collapsed="false">
      <c r="B206" s="33"/>
      <c r="C206" s="29"/>
    </row>
    <row r="207" customFormat="false" ht="18.75" hidden="false" customHeight="true" outlineLevel="0" collapsed="false">
      <c r="B207" s="33"/>
      <c r="C207" s="29"/>
    </row>
    <row r="208" customFormat="false" ht="18.75" hidden="false" customHeight="true" outlineLevel="0" collapsed="false">
      <c r="B208" s="33"/>
      <c r="C208" s="29"/>
    </row>
    <row r="209" customFormat="false" ht="18.75" hidden="false" customHeight="true" outlineLevel="0" collapsed="false">
      <c r="B209" s="33"/>
      <c r="C209" s="29"/>
    </row>
    <row r="210" customFormat="false" ht="18.75" hidden="false" customHeight="true" outlineLevel="0" collapsed="false">
      <c r="B210" s="33"/>
      <c r="C210" s="29"/>
    </row>
    <row r="211" customFormat="false" ht="18.75" hidden="false" customHeight="true" outlineLevel="0" collapsed="false">
      <c r="B211" s="33"/>
      <c r="C211" s="29"/>
    </row>
    <row r="212" customFormat="false" ht="18.75" hidden="false" customHeight="true" outlineLevel="0" collapsed="false">
      <c r="B212" s="33"/>
      <c r="C212" s="29"/>
    </row>
    <row r="213" customFormat="false" ht="18.75" hidden="false" customHeight="true" outlineLevel="0" collapsed="false">
      <c r="B213" s="33"/>
      <c r="C213" s="29"/>
    </row>
    <row r="214" customFormat="false" ht="18.75" hidden="false" customHeight="true" outlineLevel="0" collapsed="false">
      <c r="B214" s="33"/>
      <c r="C214" s="29"/>
    </row>
    <row r="215" customFormat="false" ht="18.75" hidden="false" customHeight="true" outlineLevel="0" collapsed="false">
      <c r="B215" s="33"/>
      <c r="C215" s="29"/>
    </row>
    <row r="216" customFormat="false" ht="18.75" hidden="false" customHeight="true" outlineLevel="0" collapsed="false">
      <c r="B216" s="33"/>
      <c r="C216" s="29"/>
    </row>
    <row r="217" customFormat="false" ht="18.75" hidden="false" customHeight="true" outlineLevel="0" collapsed="false">
      <c r="B217" s="33"/>
      <c r="C217" s="29"/>
    </row>
    <row r="218" customFormat="false" ht="18.75" hidden="false" customHeight="true" outlineLevel="0" collapsed="false">
      <c r="B218" s="33"/>
      <c r="C218" s="29"/>
    </row>
    <row r="219" customFormat="false" ht="18.75" hidden="false" customHeight="true" outlineLevel="0" collapsed="false">
      <c r="B219" s="33"/>
      <c r="C219" s="29"/>
    </row>
    <row r="220" customFormat="false" ht="18.75" hidden="false" customHeight="true" outlineLevel="0" collapsed="false">
      <c r="B220" s="33"/>
      <c r="C220" s="29"/>
    </row>
    <row r="221" customFormat="false" ht="18.75" hidden="false" customHeight="true" outlineLevel="0" collapsed="false">
      <c r="B221" s="33"/>
      <c r="C221" s="29"/>
    </row>
    <row r="222" customFormat="false" ht="18.75" hidden="false" customHeight="true" outlineLevel="0" collapsed="false">
      <c r="B222" s="33"/>
      <c r="C222" s="29"/>
    </row>
    <row r="223" customFormat="false" ht="18.75" hidden="false" customHeight="true" outlineLevel="0" collapsed="false">
      <c r="B223" s="33"/>
      <c r="C223" s="29"/>
    </row>
    <row r="224" customFormat="false" ht="18.75" hidden="false" customHeight="true" outlineLevel="0" collapsed="false">
      <c r="B224" s="33"/>
      <c r="C224" s="29"/>
    </row>
    <row r="225" customFormat="false" ht="18.75" hidden="false" customHeight="true" outlineLevel="0" collapsed="false">
      <c r="B225" s="33"/>
      <c r="C225" s="29"/>
    </row>
    <row r="226" customFormat="false" ht="18.75" hidden="false" customHeight="true" outlineLevel="0" collapsed="false">
      <c r="B226" s="33"/>
      <c r="C226" s="29"/>
    </row>
    <row r="227" customFormat="false" ht="18.75" hidden="false" customHeight="true" outlineLevel="0" collapsed="false">
      <c r="B227" s="33"/>
      <c r="C227" s="29"/>
    </row>
    <row r="228" customFormat="false" ht="18.75" hidden="false" customHeight="true" outlineLevel="0" collapsed="false">
      <c r="B228" s="33"/>
      <c r="C228" s="29"/>
    </row>
    <row r="229" customFormat="false" ht="18.75" hidden="false" customHeight="true" outlineLevel="0" collapsed="false">
      <c r="B229" s="33"/>
      <c r="C229" s="29"/>
    </row>
    <row r="230" customFormat="false" ht="18.75" hidden="false" customHeight="true" outlineLevel="0" collapsed="false">
      <c r="B230" s="33"/>
      <c r="C230" s="29"/>
    </row>
    <row r="231" customFormat="false" ht="18.75" hidden="false" customHeight="true" outlineLevel="0" collapsed="false">
      <c r="B231" s="33"/>
      <c r="C231" s="29"/>
    </row>
    <row r="232" customFormat="false" ht="18.75" hidden="false" customHeight="true" outlineLevel="0" collapsed="false">
      <c r="B232" s="33"/>
      <c r="C232" s="29"/>
    </row>
    <row r="233" customFormat="false" ht="18.75" hidden="false" customHeight="true" outlineLevel="0" collapsed="false">
      <c r="B233" s="33"/>
      <c r="C233" s="29"/>
    </row>
    <row r="234" customFormat="false" ht="18.75" hidden="false" customHeight="true" outlineLevel="0" collapsed="false">
      <c r="B234" s="33"/>
      <c r="C234" s="29"/>
    </row>
    <row r="235" customFormat="false" ht="18.75" hidden="false" customHeight="true" outlineLevel="0" collapsed="false">
      <c r="B235" s="33"/>
      <c r="C235" s="29"/>
    </row>
    <row r="236" customFormat="false" ht="18.75" hidden="false" customHeight="true" outlineLevel="0" collapsed="false">
      <c r="B236" s="33"/>
      <c r="C236" s="29"/>
    </row>
    <row r="237" customFormat="false" ht="18.75" hidden="false" customHeight="true" outlineLevel="0" collapsed="false">
      <c r="B237" s="33"/>
      <c r="C237" s="29"/>
    </row>
    <row r="238" customFormat="false" ht="18.75" hidden="false" customHeight="true" outlineLevel="0" collapsed="false">
      <c r="B238" s="33"/>
      <c r="C238" s="29"/>
    </row>
    <row r="239" customFormat="false" ht="18.75" hidden="false" customHeight="true" outlineLevel="0" collapsed="false">
      <c r="B239" s="33"/>
      <c r="C239" s="29"/>
    </row>
    <row r="240" customFormat="false" ht="18.75" hidden="false" customHeight="true" outlineLevel="0" collapsed="false">
      <c r="B240" s="33"/>
      <c r="C240" s="29"/>
    </row>
    <row r="241" customFormat="false" ht="18.75" hidden="false" customHeight="true" outlineLevel="0" collapsed="false">
      <c r="B241" s="33"/>
      <c r="C241" s="29"/>
    </row>
    <row r="242" customFormat="false" ht="18.75" hidden="false" customHeight="true" outlineLevel="0" collapsed="false">
      <c r="B242" s="33"/>
      <c r="C242" s="29"/>
    </row>
    <row r="243" customFormat="false" ht="18.75" hidden="false" customHeight="true" outlineLevel="0" collapsed="false">
      <c r="B243" s="33"/>
      <c r="C243" s="29"/>
    </row>
    <row r="244" customFormat="false" ht="18.75" hidden="false" customHeight="true" outlineLevel="0" collapsed="false">
      <c r="B244" s="33"/>
      <c r="C244" s="29"/>
    </row>
    <row r="245" customFormat="false" ht="18.75" hidden="false" customHeight="true" outlineLevel="0" collapsed="false">
      <c r="B245" s="33"/>
      <c r="C245" s="29"/>
    </row>
    <row r="246" customFormat="false" ht="18.75" hidden="false" customHeight="true" outlineLevel="0" collapsed="false">
      <c r="B246" s="33"/>
      <c r="C246" s="29"/>
    </row>
    <row r="247" customFormat="false" ht="18.75" hidden="false" customHeight="true" outlineLevel="0" collapsed="false">
      <c r="B247" s="33"/>
      <c r="C247" s="29"/>
    </row>
    <row r="248" customFormat="false" ht="18.75" hidden="false" customHeight="true" outlineLevel="0" collapsed="false">
      <c r="B248" s="33"/>
      <c r="C248" s="29"/>
    </row>
    <row r="249" customFormat="false" ht="18.75" hidden="false" customHeight="true" outlineLevel="0" collapsed="false">
      <c r="B249" s="33"/>
      <c r="C249" s="29"/>
    </row>
    <row r="250" customFormat="false" ht="18.75" hidden="false" customHeight="true" outlineLevel="0" collapsed="false">
      <c r="B250" s="33"/>
      <c r="C250" s="29"/>
    </row>
    <row r="251" customFormat="false" ht="18.75" hidden="false" customHeight="true" outlineLevel="0" collapsed="false">
      <c r="B251" s="33"/>
      <c r="C251" s="29"/>
    </row>
    <row r="252" customFormat="false" ht="18.75" hidden="false" customHeight="true" outlineLevel="0" collapsed="false">
      <c r="B252" s="33"/>
      <c r="C252" s="29"/>
    </row>
    <row r="253" customFormat="false" ht="18.75" hidden="false" customHeight="true" outlineLevel="0" collapsed="false">
      <c r="B253" s="33"/>
      <c r="C253" s="29"/>
    </row>
    <row r="254" customFormat="false" ht="18.75" hidden="false" customHeight="true" outlineLevel="0" collapsed="false">
      <c r="B254" s="33"/>
      <c r="C254" s="29"/>
    </row>
    <row r="255" customFormat="false" ht="18.75" hidden="false" customHeight="true" outlineLevel="0" collapsed="false">
      <c r="B255" s="33"/>
      <c r="C255" s="29"/>
    </row>
    <row r="256" customFormat="false" ht="18.75" hidden="false" customHeight="true" outlineLevel="0" collapsed="false">
      <c r="B256" s="33"/>
      <c r="C256" s="29"/>
    </row>
    <row r="257" customFormat="false" ht="18.75" hidden="false" customHeight="true" outlineLevel="0" collapsed="false">
      <c r="B257" s="33"/>
      <c r="C257" s="29"/>
    </row>
    <row r="258" customFormat="false" ht="18.75" hidden="false" customHeight="true" outlineLevel="0" collapsed="false">
      <c r="B258" s="33"/>
      <c r="C258" s="29"/>
    </row>
    <row r="259" customFormat="false" ht="18.75" hidden="false" customHeight="true" outlineLevel="0" collapsed="false">
      <c r="B259" s="33"/>
      <c r="C259" s="29"/>
    </row>
    <row r="260" customFormat="false" ht="18.75" hidden="false" customHeight="true" outlineLevel="0" collapsed="false">
      <c r="B260" s="33"/>
      <c r="C260" s="29"/>
    </row>
    <row r="261" customFormat="false" ht="18.75" hidden="false" customHeight="true" outlineLevel="0" collapsed="false">
      <c r="B261" s="33"/>
      <c r="C261" s="29"/>
    </row>
    <row r="262" customFormat="false" ht="18.75" hidden="false" customHeight="true" outlineLevel="0" collapsed="false">
      <c r="B262" s="33"/>
      <c r="C262" s="29"/>
    </row>
    <row r="263" customFormat="false" ht="18.75" hidden="false" customHeight="true" outlineLevel="0" collapsed="false">
      <c r="B263" s="33"/>
      <c r="C263" s="29"/>
    </row>
    <row r="264" customFormat="false" ht="18.75" hidden="false" customHeight="true" outlineLevel="0" collapsed="false">
      <c r="B264" s="33"/>
      <c r="C264" s="29"/>
    </row>
    <row r="265" customFormat="false" ht="18.75" hidden="false" customHeight="true" outlineLevel="0" collapsed="false">
      <c r="B265" s="33"/>
      <c r="C265" s="29"/>
    </row>
    <row r="266" customFormat="false" ht="18.75" hidden="false" customHeight="true" outlineLevel="0" collapsed="false">
      <c r="B266" s="33"/>
      <c r="C266" s="29"/>
    </row>
    <row r="267" customFormat="false" ht="18.75" hidden="false" customHeight="true" outlineLevel="0" collapsed="false">
      <c r="B267" s="33"/>
      <c r="C267" s="29"/>
    </row>
    <row r="268" customFormat="false" ht="18.75" hidden="false" customHeight="true" outlineLevel="0" collapsed="false">
      <c r="B268" s="33"/>
      <c r="C268" s="29"/>
    </row>
    <row r="269" customFormat="false" ht="18.75" hidden="false" customHeight="true" outlineLevel="0" collapsed="false">
      <c r="B269" s="33"/>
      <c r="C269" s="29"/>
    </row>
    <row r="270" customFormat="false" ht="18.75" hidden="false" customHeight="true" outlineLevel="0" collapsed="false">
      <c r="B270" s="33"/>
      <c r="C270" s="29"/>
    </row>
    <row r="271" customFormat="false" ht="18.75" hidden="false" customHeight="true" outlineLevel="0" collapsed="false">
      <c r="B271" s="33"/>
      <c r="C271" s="29"/>
    </row>
    <row r="272" customFormat="false" ht="18.75" hidden="false" customHeight="true" outlineLevel="0" collapsed="false">
      <c r="B272" s="33"/>
      <c r="C272" s="29"/>
    </row>
    <row r="273" customFormat="false" ht="18.75" hidden="false" customHeight="true" outlineLevel="0" collapsed="false">
      <c r="B273" s="33"/>
      <c r="C273" s="29"/>
    </row>
    <row r="274" customFormat="false" ht="18.75" hidden="false" customHeight="true" outlineLevel="0" collapsed="false">
      <c r="B274" s="33"/>
      <c r="C274" s="29"/>
    </row>
    <row r="275" customFormat="false" ht="18.75" hidden="false" customHeight="true" outlineLevel="0" collapsed="false">
      <c r="B275" s="33"/>
      <c r="C275" s="29"/>
    </row>
    <row r="276" customFormat="false" ht="18.75" hidden="false" customHeight="true" outlineLevel="0" collapsed="false">
      <c r="B276" s="33"/>
      <c r="C276" s="29"/>
    </row>
    <row r="277" customFormat="false" ht="18.75" hidden="false" customHeight="true" outlineLevel="0" collapsed="false">
      <c r="B277" s="33"/>
      <c r="C277" s="29"/>
    </row>
    <row r="278" customFormat="false" ht="18.75" hidden="false" customHeight="true" outlineLevel="0" collapsed="false">
      <c r="B278" s="33"/>
      <c r="C278" s="29"/>
    </row>
    <row r="279" customFormat="false" ht="18.75" hidden="false" customHeight="true" outlineLevel="0" collapsed="false">
      <c r="B279" s="33"/>
      <c r="C279" s="29"/>
    </row>
    <row r="280" customFormat="false" ht="18.75" hidden="false" customHeight="true" outlineLevel="0" collapsed="false">
      <c r="B280" s="33"/>
      <c r="C280" s="29"/>
    </row>
    <row r="281" customFormat="false" ht="18.75" hidden="false" customHeight="true" outlineLevel="0" collapsed="false">
      <c r="B281" s="33"/>
      <c r="C281" s="29"/>
    </row>
    <row r="282" customFormat="false" ht="18.75" hidden="false" customHeight="true" outlineLevel="0" collapsed="false">
      <c r="B282" s="33"/>
      <c r="C282" s="29"/>
    </row>
    <row r="283" customFormat="false" ht="18.75" hidden="false" customHeight="true" outlineLevel="0" collapsed="false">
      <c r="B283" s="33"/>
      <c r="C283" s="29"/>
    </row>
    <row r="284" customFormat="false" ht="18.75" hidden="false" customHeight="true" outlineLevel="0" collapsed="false">
      <c r="B284" s="33"/>
      <c r="C284" s="29"/>
    </row>
    <row r="285" customFormat="false" ht="18.75" hidden="false" customHeight="true" outlineLevel="0" collapsed="false">
      <c r="B285" s="33"/>
      <c r="C285" s="29"/>
    </row>
    <row r="286" customFormat="false" ht="18.75" hidden="false" customHeight="true" outlineLevel="0" collapsed="false">
      <c r="B286" s="33"/>
      <c r="C286" s="29"/>
    </row>
    <row r="287" customFormat="false" ht="18.75" hidden="false" customHeight="true" outlineLevel="0" collapsed="false">
      <c r="B287" s="33"/>
      <c r="C287" s="29"/>
    </row>
    <row r="288" customFormat="false" ht="18.75" hidden="false" customHeight="true" outlineLevel="0" collapsed="false">
      <c r="B288" s="33"/>
      <c r="C288" s="29"/>
    </row>
    <row r="289" customFormat="false" ht="18.75" hidden="false" customHeight="true" outlineLevel="0" collapsed="false">
      <c r="B289" s="33"/>
      <c r="C289" s="29"/>
    </row>
    <row r="290" customFormat="false" ht="18.75" hidden="false" customHeight="true" outlineLevel="0" collapsed="false">
      <c r="B290" s="33"/>
      <c r="C290" s="29"/>
    </row>
    <row r="291" customFormat="false" ht="18.75" hidden="false" customHeight="true" outlineLevel="0" collapsed="false">
      <c r="B291" s="33"/>
      <c r="C291" s="29"/>
    </row>
    <row r="292" customFormat="false" ht="18.75" hidden="false" customHeight="true" outlineLevel="0" collapsed="false">
      <c r="B292" s="33"/>
      <c r="C292" s="29"/>
    </row>
    <row r="293" customFormat="false" ht="18.75" hidden="false" customHeight="true" outlineLevel="0" collapsed="false">
      <c r="B293" s="33"/>
      <c r="C293" s="29"/>
    </row>
    <row r="294" customFormat="false" ht="18.75" hidden="false" customHeight="true" outlineLevel="0" collapsed="false">
      <c r="B294" s="33"/>
      <c r="C294" s="29"/>
    </row>
    <row r="295" customFormat="false" ht="18.75" hidden="false" customHeight="true" outlineLevel="0" collapsed="false">
      <c r="B295" s="33"/>
      <c r="C295" s="29"/>
    </row>
    <row r="296" customFormat="false" ht="18.75" hidden="false" customHeight="true" outlineLevel="0" collapsed="false">
      <c r="B296" s="33"/>
      <c r="C296" s="29"/>
    </row>
    <row r="297" customFormat="false" ht="18.75" hidden="false" customHeight="true" outlineLevel="0" collapsed="false">
      <c r="B297" s="33"/>
      <c r="C297" s="29"/>
    </row>
    <row r="298" customFormat="false" ht="18.75" hidden="false" customHeight="true" outlineLevel="0" collapsed="false">
      <c r="B298" s="33"/>
      <c r="C298" s="29"/>
    </row>
    <row r="299" customFormat="false" ht="18.75" hidden="false" customHeight="true" outlineLevel="0" collapsed="false">
      <c r="B299" s="33"/>
      <c r="C299" s="29"/>
    </row>
    <row r="300" customFormat="false" ht="18.75" hidden="false" customHeight="true" outlineLevel="0" collapsed="false">
      <c r="B300" s="33"/>
      <c r="C300" s="29"/>
    </row>
    <row r="301" customFormat="false" ht="18.75" hidden="false" customHeight="true" outlineLevel="0" collapsed="false">
      <c r="B301" s="33"/>
      <c r="C301" s="29"/>
    </row>
    <row r="302" customFormat="false" ht="18.75" hidden="false" customHeight="true" outlineLevel="0" collapsed="false">
      <c r="B302" s="33"/>
      <c r="C302" s="29"/>
    </row>
    <row r="303" customFormat="false" ht="18.75" hidden="false" customHeight="true" outlineLevel="0" collapsed="false">
      <c r="B303" s="33"/>
      <c r="C303" s="29"/>
    </row>
    <row r="304" customFormat="false" ht="18.75" hidden="false" customHeight="true" outlineLevel="0" collapsed="false">
      <c r="B304" s="33"/>
      <c r="C304" s="29"/>
    </row>
    <row r="305" customFormat="false" ht="18.75" hidden="false" customHeight="true" outlineLevel="0" collapsed="false">
      <c r="B305" s="33"/>
      <c r="C305" s="29"/>
    </row>
    <row r="306" customFormat="false" ht="18.75" hidden="false" customHeight="true" outlineLevel="0" collapsed="false">
      <c r="B306" s="33"/>
      <c r="C306" s="29"/>
    </row>
    <row r="307" customFormat="false" ht="18.75" hidden="false" customHeight="true" outlineLevel="0" collapsed="false">
      <c r="B307" s="33"/>
      <c r="C307" s="29"/>
    </row>
    <row r="308" customFormat="false" ht="18.75" hidden="false" customHeight="true" outlineLevel="0" collapsed="false">
      <c r="B308" s="33"/>
      <c r="C308" s="29"/>
    </row>
    <row r="309" customFormat="false" ht="18.75" hidden="false" customHeight="true" outlineLevel="0" collapsed="false">
      <c r="B309" s="33"/>
      <c r="C309" s="29"/>
    </row>
    <row r="310" customFormat="false" ht="18.75" hidden="false" customHeight="true" outlineLevel="0" collapsed="false">
      <c r="B310" s="33"/>
      <c r="C310" s="29"/>
    </row>
    <row r="311" customFormat="false" ht="18.75" hidden="false" customHeight="true" outlineLevel="0" collapsed="false">
      <c r="B311" s="33"/>
      <c r="C311" s="29"/>
    </row>
    <row r="312" customFormat="false" ht="18.75" hidden="false" customHeight="true" outlineLevel="0" collapsed="false">
      <c r="B312" s="33"/>
      <c r="C312" s="29"/>
    </row>
    <row r="313" customFormat="false" ht="18.75" hidden="false" customHeight="true" outlineLevel="0" collapsed="false">
      <c r="B313" s="33"/>
      <c r="C313" s="29"/>
    </row>
    <row r="314" customFormat="false" ht="18.75" hidden="false" customHeight="true" outlineLevel="0" collapsed="false">
      <c r="B314" s="33"/>
      <c r="C314" s="29"/>
    </row>
    <row r="315" customFormat="false" ht="18.75" hidden="false" customHeight="true" outlineLevel="0" collapsed="false">
      <c r="B315" s="33"/>
      <c r="C315" s="29"/>
    </row>
    <row r="316" customFormat="false" ht="18.75" hidden="false" customHeight="true" outlineLevel="0" collapsed="false">
      <c r="B316" s="33"/>
      <c r="C316" s="29"/>
    </row>
    <row r="317" customFormat="false" ht="18.75" hidden="false" customHeight="true" outlineLevel="0" collapsed="false">
      <c r="B317" s="33"/>
      <c r="C317" s="29"/>
    </row>
    <row r="318" customFormat="false" ht="18.75" hidden="false" customHeight="true" outlineLevel="0" collapsed="false">
      <c r="B318" s="33"/>
      <c r="C318" s="29"/>
    </row>
    <row r="319" customFormat="false" ht="18.75" hidden="false" customHeight="true" outlineLevel="0" collapsed="false">
      <c r="B319" s="33"/>
      <c r="C319" s="29"/>
    </row>
    <row r="320" customFormat="false" ht="18.75" hidden="false" customHeight="true" outlineLevel="0" collapsed="false">
      <c r="B320" s="33"/>
      <c r="C320" s="29"/>
    </row>
    <row r="321" customFormat="false" ht="18.75" hidden="false" customHeight="true" outlineLevel="0" collapsed="false">
      <c r="B321" s="33"/>
      <c r="C321" s="29"/>
    </row>
    <row r="322" customFormat="false" ht="18.75" hidden="false" customHeight="true" outlineLevel="0" collapsed="false">
      <c r="B322" s="33"/>
      <c r="C322" s="29"/>
    </row>
    <row r="323" customFormat="false" ht="18.75" hidden="false" customHeight="true" outlineLevel="0" collapsed="false">
      <c r="B323" s="33"/>
      <c r="C323" s="29"/>
    </row>
    <row r="324" customFormat="false" ht="18.75" hidden="false" customHeight="true" outlineLevel="0" collapsed="false">
      <c r="B324" s="33"/>
      <c r="C324" s="29"/>
    </row>
    <row r="325" customFormat="false" ht="18.75" hidden="false" customHeight="true" outlineLevel="0" collapsed="false">
      <c r="B325" s="33"/>
      <c r="C325" s="29"/>
    </row>
    <row r="326" customFormat="false" ht="18.75" hidden="false" customHeight="true" outlineLevel="0" collapsed="false">
      <c r="B326" s="33"/>
      <c r="C326" s="29"/>
    </row>
    <row r="327" customFormat="false" ht="18.75" hidden="false" customHeight="true" outlineLevel="0" collapsed="false">
      <c r="B327" s="33"/>
      <c r="C327" s="29"/>
    </row>
    <row r="328" customFormat="false" ht="18.75" hidden="false" customHeight="true" outlineLevel="0" collapsed="false">
      <c r="B328" s="33"/>
      <c r="C328" s="29"/>
    </row>
    <row r="329" customFormat="false" ht="18.75" hidden="false" customHeight="true" outlineLevel="0" collapsed="false">
      <c r="B329" s="33"/>
      <c r="C329" s="29"/>
    </row>
    <row r="330" customFormat="false" ht="18.75" hidden="false" customHeight="true" outlineLevel="0" collapsed="false">
      <c r="B330" s="33"/>
      <c r="C330" s="29"/>
    </row>
    <row r="331" customFormat="false" ht="18.75" hidden="false" customHeight="true" outlineLevel="0" collapsed="false">
      <c r="B331" s="33"/>
      <c r="C331" s="29"/>
    </row>
    <row r="332" customFormat="false" ht="18.75" hidden="false" customHeight="true" outlineLevel="0" collapsed="false">
      <c r="B332" s="33"/>
      <c r="C332" s="29"/>
    </row>
    <row r="333" customFormat="false" ht="18.75" hidden="false" customHeight="true" outlineLevel="0" collapsed="false">
      <c r="B333" s="33"/>
      <c r="C333" s="29"/>
    </row>
    <row r="334" customFormat="false" ht="18.75" hidden="false" customHeight="true" outlineLevel="0" collapsed="false">
      <c r="B334" s="33"/>
      <c r="C334" s="29"/>
    </row>
    <row r="335" customFormat="false" ht="18.75" hidden="false" customHeight="true" outlineLevel="0" collapsed="false">
      <c r="B335" s="33"/>
      <c r="C335" s="29"/>
    </row>
    <row r="336" customFormat="false" ht="18.75" hidden="false" customHeight="true" outlineLevel="0" collapsed="false">
      <c r="B336" s="33"/>
      <c r="C336" s="29"/>
    </row>
    <row r="337" customFormat="false" ht="18.75" hidden="false" customHeight="true" outlineLevel="0" collapsed="false">
      <c r="B337" s="33"/>
      <c r="C337" s="29"/>
    </row>
    <row r="338" customFormat="false" ht="18.75" hidden="false" customHeight="true" outlineLevel="0" collapsed="false">
      <c r="B338" s="33"/>
      <c r="C338" s="29"/>
    </row>
    <row r="339" customFormat="false" ht="18.75" hidden="false" customHeight="true" outlineLevel="0" collapsed="false">
      <c r="B339" s="33"/>
      <c r="C339" s="29"/>
    </row>
    <row r="340" customFormat="false" ht="18.75" hidden="false" customHeight="true" outlineLevel="0" collapsed="false">
      <c r="B340" s="33"/>
      <c r="C340" s="29"/>
    </row>
    <row r="341" customFormat="false" ht="18.75" hidden="false" customHeight="true" outlineLevel="0" collapsed="false">
      <c r="B341" s="33"/>
      <c r="C341" s="29"/>
    </row>
    <row r="342" customFormat="false" ht="18.75" hidden="false" customHeight="true" outlineLevel="0" collapsed="false">
      <c r="B342" s="33"/>
      <c r="C342" s="29"/>
    </row>
    <row r="343" customFormat="false" ht="18.75" hidden="false" customHeight="true" outlineLevel="0" collapsed="false">
      <c r="B343" s="33"/>
      <c r="C343" s="29"/>
    </row>
    <row r="344" customFormat="false" ht="18.75" hidden="false" customHeight="true" outlineLevel="0" collapsed="false">
      <c r="B344" s="33"/>
      <c r="C344" s="29"/>
    </row>
    <row r="345" customFormat="false" ht="18.75" hidden="false" customHeight="true" outlineLevel="0" collapsed="false">
      <c r="B345" s="33"/>
      <c r="C345" s="29"/>
    </row>
    <row r="346" customFormat="false" ht="18.75" hidden="false" customHeight="true" outlineLevel="0" collapsed="false">
      <c r="B346" s="33"/>
      <c r="C346" s="29"/>
    </row>
    <row r="347" customFormat="false" ht="18.75" hidden="false" customHeight="true" outlineLevel="0" collapsed="false">
      <c r="B347" s="33"/>
      <c r="C347" s="29"/>
    </row>
    <row r="348" customFormat="false" ht="18.75" hidden="false" customHeight="true" outlineLevel="0" collapsed="false">
      <c r="B348" s="33"/>
      <c r="C348" s="29"/>
    </row>
    <row r="349" customFormat="false" ht="18.75" hidden="false" customHeight="true" outlineLevel="0" collapsed="false">
      <c r="B349" s="33"/>
      <c r="C349" s="29"/>
    </row>
    <row r="350" customFormat="false" ht="18.75" hidden="false" customHeight="true" outlineLevel="0" collapsed="false">
      <c r="B350" s="33"/>
      <c r="C350" s="29"/>
    </row>
    <row r="351" customFormat="false" ht="18.75" hidden="false" customHeight="true" outlineLevel="0" collapsed="false">
      <c r="B351" s="33"/>
      <c r="C351" s="29"/>
    </row>
    <row r="352" customFormat="false" ht="18.75" hidden="false" customHeight="true" outlineLevel="0" collapsed="false">
      <c r="B352" s="33"/>
      <c r="C352" s="29"/>
    </row>
    <row r="353" customFormat="false" ht="18.75" hidden="false" customHeight="true" outlineLevel="0" collapsed="false">
      <c r="B353" s="33"/>
      <c r="C353" s="29"/>
    </row>
    <row r="354" customFormat="false" ht="18.75" hidden="false" customHeight="true" outlineLevel="0" collapsed="false">
      <c r="B354" s="33"/>
      <c r="C354" s="29"/>
    </row>
    <row r="355" customFormat="false" ht="18.75" hidden="false" customHeight="true" outlineLevel="0" collapsed="false">
      <c r="B355" s="33"/>
      <c r="C355" s="29"/>
    </row>
    <row r="356" customFormat="false" ht="18.75" hidden="false" customHeight="true" outlineLevel="0" collapsed="false">
      <c r="B356" s="33"/>
      <c r="C356" s="29"/>
    </row>
    <row r="357" customFormat="false" ht="18.75" hidden="false" customHeight="true" outlineLevel="0" collapsed="false">
      <c r="B357" s="33"/>
      <c r="C357" s="29"/>
    </row>
    <row r="358" customFormat="false" ht="18.75" hidden="false" customHeight="true" outlineLevel="0" collapsed="false">
      <c r="B358" s="33"/>
      <c r="C358" s="29"/>
    </row>
    <row r="359" customFormat="false" ht="18.75" hidden="false" customHeight="true" outlineLevel="0" collapsed="false">
      <c r="B359" s="33"/>
      <c r="C359" s="29"/>
    </row>
    <row r="360" customFormat="false" ht="18.75" hidden="false" customHeight="true" outlineLevel="0" collapsed="false">
      <c r="B360" s="33"/>
      <c r="C360" s="29"/>
    </row>
    <row r="361" customFormat="false" ht="18.75" hidden="false" customHeight="true" outlineLevel="0" collapsed="false">
      <c r="B361" s="33"/>
      <c r="C361" s="29"/>
    </row>
    <row r="362" customFormat="false" ht="18.75" hidden="false" customHeight="true" outlineLevel="0" collapsed="false">
      <c r="B362" s="33"/>
      <c r="C362" s="29"/>
    </row>
    <row r="363" customFormat="false" ht="18.75" hidden="false" customHeight="true" outlineLevel="0" collapsed="false">
      <c r="B363" s="33"/>
      <c r="C363" s="29"/>
    </row>
    <row r="364" customFormat="false" ht="18.75" hidden="false" customHeight="true" outlineLevel="0" collapsed="false">
      <c r="B364" s="33"/>
      <c r="C364" s="29"/>
    </row>
    <row r="365" customFormat="false" ht="18.75" hidden="false" customHeight="true" outlineLevel="0" collapsed="false">
      <c r="B365" s="33"/>
      <c r="C365" s="29"/>
    </row>
    <row r="366" customFormat="false" ht="18.75" hidden="false" customHeight="true" outlineLevel="0" collapsed="false">
      <c r="B366" s="33"/>
      <c r="C366" s="29"/>
    </row>
    <row r="367" customFormat="false" ht="18.75" hidden="false" customHeight="true" outlineLevel="0" collapsed="false">
      <c r="B367" s="33"/>
      <c r="C367" s="29"/>
    </row>
    <row r="368" customFormat="false" ht="18.75" hidden="false" customHeight="true" outlineLevel="0" collapsed="false">
      <c r="B368" s="33"/>
      <c r="C368" s="29"/>
    </row>
    <row r="369" customFormat="false" ht="18.75" hidden="false" customHeight="true" outlineLevel="0" collapsed="false">
      <c r="B369" s="33"/>
      <c r="C369" s="29"/>
    </row>
    <row r="370" customFormat="false" ht="18.75" hidden="false" customHeight="true" outlineLevel="0" collapsed="false">
      <c r="B370" s="33"/>
      <c r="C370" s="29"/>
    </row>
    <row r="371" customFormat="false" ht="18.75" hidden="false" customHeight="true" outlineLevel="0" collapsed="false">
      <c r="B371" s="33"/>
      <c r="C371" s="29"/>
    </row>
    <row r="372" customFormat="false" ht="18.75" hidden="false" customHeight="true" outlineLevel="0" collapsed="false">
      <c r="B372" s="33"/>
      <c r="C372" s="29"/>
    </row>
    <row r="373" customFormat="false" ht="18.75" hidden="false" customHeight="true" outlineLevel="0" collapsed="false">
      <c r="B373" s="33"/>
      <c r="C373" s="29"/>
    </row>
    <row r="374" customFormat="false" ht="18.75" hidden="false" customHeight="true" outlineLevel="0" collapsed="false">
      <c r="B374" s="33"/>
      <c r="C374" s="29"/>
    </row>
    <row r="375" customFormat="false" ht="18.75" hidden="false" customHeight="true" outlineLevel="0" collapsed="false">
      <c r="B375" s="33"/>
      <c r="C375" s="29"/>
    </row>
    <row r="376" customFormat="false" ht="18.75" hidden="false" customHeight="true" outlineLevel="0" collapsed="false">
      <c r="B376" s="33"/>
      <c r="C376" s="29"/>
    </row>
    <row r="377" customFormat="false" ht="18.75" hidden="false" customHeight="true" outlineLevel="0" collapsed="false">
      <c r="B377" s="33"/>
      <c r="C377" s="29"/>
    </row>
    <row r="378" customFormat="false" ht="18.75" hidden="false" customHeight="true" outlineLevel="0" collapsed="false">
      <c r="B378" s="33"/>
      <c r="C378" s="29"/>
    </row>
    <row r="379" customFormat="false" ht="18.75" hidden="false" customHeight="true" outlineLevel="0" collapsed="false">
      <c r="B379" s="33"/>
      <c r="C379" s="29"/>
    </row>
    <row r="380" customFormat="false" ht="18.75" hidden="false" customHeight="true" outlineLevel="0" collapsed="false">
      <c r="B380" s="33"/>
      <c r="C380" s="29"/>
    </row>
    <row r="381" customFormat="false" ht="18.75" hidden="false" customHeight="true" outlineLevel="0" collapsed="false">
      <c r="B381" s="33"/>
      <c r="C381" s="29"/>
    </row>
    <row r="382" customFormat="false" ht="18.75" hidden="false" customHeight="true" outlineLevel="0" collapsed="false">
      <c r="B382" s="33"/>
      <c r="C382" s="29"/>
    </row>
    <row r="383" customFormat="false" ht="18.75" hidden="false" customHeight="true" outlineLevel="0" collapsed="false">
      <c r="B383" s="33"/>
      <c r="C383" s="29"/>
    </row>
    <row r="384" customFormat="false" ht="18.75" hidden="false" customHeight="true" outlineLevel="0" collapsed="false">
      <c r="B384" s="33"/>
      <c r="C384" s="29"/>
    </row>
    <row r="385" customFormat="false" ht="18.75" hidden="false" customHeight="true" outlineLevel="0" collapsed="false">
      <c r="B385" s="33"/>
      <c r="C385" s="29"/>
    </row>
    <row r="386" customFormat="false" ht="18.75" hidden="false" customHeight="true" outlineLevel="0" collapsed="false">
      <c r="B386" s="33"/>
      <c r="C386" s="29"/>
    </row>
    <row r="387" customFormat="false" ht="18.75" hidden="false" customHeight="true" outlineLevel="0" collapsed="false">
      <c r="B387" s="33"/>
      <c r="C387" s="29"/>
    </row>
    <row r="388" customFormat="false" ht="18.75" hidden="false" customHeight="true" outlineLevel="0" collapsed="false">
      <c r="B388" s="33"/>
      <c r="C388" s="29"/>
    </row>
    <row r="389" customFormat="false" ht="18.75" hidden="false" customHeight="true" outlineLevel="0" collapsed="false">
      <c r="B389" s="33"/>
      <c r="C389" s="29"/>
    </row>
    <row r="390" customFormat="false" ht="18.75" hidden="false" customHeight="true" outlineLevel="0" collapsed="false">
      <c r="B390" s="33"/>
      <c r="C390" s="29"/>
    </row>
    <row r="391" customFormat="false" ht="18.75" hidden="false" customHeight="true" outlineLevel="0" collapsed="false">
      <c r="B391" s="33"/>
      <c r="C391" s="29"/>
    </row>
    <row r="392" customFormat="false" ht="18.75" hidden="false" customHeight="true" outlineLevel="0" collapsed="false">
      <c r="B392" s="33"/>
      <c r="C392" s="29"/>
    </row>
    <row r="393" customFormat="false" ht="18.75" hidden="false" customHeight="true" outlineLevel="0" collapsed="false">
      <c r="B393" s="33"/>
      <c r="C393" s="29"/>
    </row>
    <row r="394" customFormat="false" ht="18.75" hidden="false" customHeight="true" outlineLevel="0" collapsed="false">
      <c r="B394" s="33"/>
      <c r="C394" s="29"/>
    </row>
    <row r="395" customFormat="false" ht="18.75" hidden="false" customHeight="true" outlineLevel="0" collapsed="false">
      <c r="B395" s="33"/>
      <c r="C395" s="29"/>
    </row>
    <row r="396" customFormat="false" ht="18.75" hidden="false" customHeight="true" outlineLevel="0" collapsed="false">
      <c r="B396" s="33"/>
      <c r="C396" s="29"/>
    </row>
    <row r="397" customFormat="false" ht="18.75" hidden="false" customHeight="true" outlineLevel="0" collapsed="false">
      <c r="B397" s="33"/>
      <c r="C397" s="29"/>
    </row>
    <row r="398" customFormat="false" ht="18.75" hidden="false" customHeight="true" outlineLevel="0" collapsed="false">
      <c r="B398" s="33"/>
      <c r="C398" s="29"/>
    </row>
    <row r="399" customFormat="false" ht="18.75" hidden="false" customHeight="true" outlineLevel="0" collapsed="false">
      <c r="B399" s="33"/>
      <c r="C399" s="29"/>
    </row>
    <row r="400" customFormat="false" ht="18.75" hidden="false" customHeight="true" outlineLevel="0" collapsed="false">
      <c r="B400" s="33"/>
      <c r="C400" s="29"/>
    </row>
    <row r="401" customFormat="false" ht="18.75" hidden="false" customHeight="true" outlineLevel="0" collapsed="false">
      <c r="B401" s="33"/>
      <c r="C401" s="29"/>
    </row>
    <row r="402" customFormat="false" ht="18.75" hidden="false" customHeight="true" outlineLevel="0" collapsed="false">
      <c r="B402" s="33"/>
      <c r="C402" s="29"/>
    </row>
    <row r="403" customFormat="false" ht="18.75" hidden="false" customHeight="true" outlineLevel="0" collapsed="false">
      <c r="B403" s="33"/>
      <c r="C403" s="29"/>
    </row>
    <row r="404" customFormat="false" ht="18.75" hidden="false" customHeight="true" outlineLevel="0" collapsed="false">
      <c r="B404" s="33"/>
      <c r="C404" s="29"/>
    </row>
    <row r="405" customFormat="false" ht="18.75" hidden="false" customHeight="true" outlineLevel="0" collapsed="false">
      <c r="B405" s="33"/>
      <c r="C405" s="29"/>
    </row>
    <row r="406" customFormat="false" ht="18.75" hidden="false" customHeight="true" outlineLevel="0" collapsed="false">
      <c r="B406" s="33"/>
      <c r="C406" s="29"/>
    </row>
    <row r="407" customFormat="false" ht="18.75" hidden="false" customHeight="true" outlineLevel="0" collapsed="false">
      <c r="B407" s="33"/>
      <c r="C407" s="29"/>
    </row>
    <row r="408" customFormat="false" ht="18.75" hidden="false" customHeight="true" outlineLevel="0" collapsed="false">
      <c r="B408" s="33"/>
      <c r="C408" s="29"/>
    </row>
    <row r="409" customFormat="false" ht="18.75" hidden="false" customHeight="true" outlineLevel="0" collapsed="false">
      <c r="B409" s="33"/>
      <c r="C409" s="29"/>
    </row>
    <row r="410" customFormat="false" ht="18.75" hidden="false" customHeight="true" outlineLevel="0" collapsed="false">
      <c r="B410" s="33"/>
      <c r="C410" s="29"/>
    </row>
    <row r="411" customFormat="false" ht="18.75" hidden="false" customHeight="true" outlineLevel="0" collapsed="false">
      <c r="B411" s="33"/>
      <c r="C411" s="29"/>
    </row>
    <row r="412" customFormat="false" ht="18.75" hidden="false" customHeight="true" outlineLevel="0" collapsed="false">
      <c r="B412" s="33"/>
      <c r="C412" s="29"/>
    </row>
    <row r="413" customFormat="false" ht="18.75" hidden="false" customHeight="true" outlineLevel="0" collapsed="false">
      <c r="B413" s="33"/>
      <c r="C413" s="29"/>
    </row>
    <row r="414" customFormat="false" ht="18.75" hidden="false" customHeight="true" outlineLevel="0" collapsed="false">
      <c r="B414" s="33"/>
      <c r="C414" s="29"/>
    </row>
    <row r="415" customFormat="false" ht="18.75" hidden="false" customHeight="true" outlineLevel="0" collapsed="false">
      <c r="B415" s="33"/>
      <c r="C415" s="29"/>
    </row>
    <row r="416" customFormat="false" ht="18.75" hidden="false" customHeight="true" outlineLevel="0" collapsed="false">
      <c r="B416" s="33"/>
      <c r="C416" s="29"/>
    </row>
    <row r="417" customFormat="false" ht="18.75" hidden="false" customHeight="true" outlineLevel="0" collapsed="false">
      <c r="B417" s="33"/>
      <c r="C417" s="29"/>
    </row>
    <row r="418" customFormat="false" ht="18.75" hidden="false" customHeight="true" outlineLevel="0" collapsed="false">
      <c r="B418" s="33"/>
      <c r="C418" s="29"/>
    </row>
    <row r="419" customFormat="false" ht="18.75" hidden="false" customHeight="true" outlineLevel="0" collapsed="false">
      <c r="B419" s="33"/>
      <c r="C419" s="29"/>
    </row>
    <row r="420" customFormat="false" ht="18.75" hidden="false" customHeight="true" outlineLevel="0" collapsed="false">
      <c r="B420" s="33"/>
      <c r="C420" s="29"/>
    </row>
    <row r="421" customFormat="false" ht="18.75" hidden="false" customHeight="true" outlineLevel="0" collapsed="false">
      <c r="B421" s="33"/>
      <c r="C421" s="29"/>
    </row>
    <row r="422" customFormat="false" ht="18.75" hidden="false" customHeight="true" outlineLevel="0" collapsed="false">
      <c r="B422" s="33"/>
      <c r="C422" s="29"/>
    </row>
    <row r="423" customFormat="false" ht="18.75" hidden="false" customHeight="true" outlineLevel="0" collapsed="false">
      <c r="B423" s="33"/>
      <c r="C423" s="29"/>
    </row>
    <row r="424" customFormat="false" ht="18.75" hidden="false" customHeight="true" outlineLevel="0" collapsed="false">
      <c r="B424" s="33"/>
      <c r="C424" s="29"/>
    </row>
    <row r="425" customFormat="false" ht="18.75" hidden="false" customHeight="true" outlineLevel="0" collapsed="false">
      <c r="B425" s="33"/>
      <c r="C425" s="29"/>
    </row>
    <row r="426" customFormat="false" ht="18.75" hidden="false" customHeight="true" outlineLevel="0" collapsed="false">
      <c r="B426" s="33"/>
      <c r="C426" s="29"/>
    </row>
    <row r="427" customFormat="false" ht="18.75" hidden="false" customHeight="true" outlineLevel="0" collapsed="false">
      <c r="B427" s="33"/>
      <c r="C427" s="29"/>
    </row>
    <row r="428" customFormat="false" ht="18.75" hidden="false" customHeight="true" outlineLevel="0" collapsed="false">
      <c r="B428" s="33"/>
      <c r="C428" s="29"/>
    </row>
    <row r="429" customFormat="false" ht="18.75" hidden="false" customHeight="true" outlineLevel="0" collapsed="false">
      <c r="B429" s="33"/>
      <c r="C429" s="29"/>
    </row>
    <row r="430" customFormat="false" ht="18.75" hidden="false" customHeight="true" outlineLevel="0" collapsed="false">
      <c r="B430" s="33"/>
      <c r="C430" s="29"/>
    </row>
    <row r="431" customFormat="false" ht="18.75" hidden="false" customHeight="true" outlineLevel="0" collapsed="false">
      <c r="B431" s="33"/>
      <c r="C431" s="29"/>
    </row>
    <row r="432" customFormat="false" ht="18.75" hidden="false" customHeight="true" outlineLevel="0" collapsed="false">
      <c r="B432" s="33"/>
      <c r="C432" s="29"/>
    </row>
    <row r="433" customFormat="false" ht="18.75" hidden="false" customHeight="true" outlineLevel="0" collapsed="false">
      <c r="B433" s="33"/>
      <c r="C433" s="29"/>
    </row>
    <row r="434" customFormat="false" ht="18.75" hidden="false" customHeight="true" outlineLevel="0" collapsed="false">
      <c r="B434" s="33"/>
      <c r="C434" s="29"/>
    </row>
    <row r="435" customFormat="false" ht="18.75" hidden="false" customHeight="true" outlineLevel="0" collapsed="false">
      <c r="B435" s="33"/>
      <c r="C435" s="29"/>
    </row>
    <row r="436" customFormat="false" ht="18.75" hidden="false" customHeight="true" outlineLevel="0" collapsed="false">
      <c r="B436" s="33"/>
      <c r="C436" s="29"/>
    </row>
    <row r="437" customFormat="false" ht="18.75" hidden="false" customHeight="true" outlineLevel="0" collapsed="false">
      <c r="B437" s="33"/>
      <c r="C437" s="29"/>
    </row>
    <row r="438" customFormat="false" ht="18.75" hidden="false" customHeight="true" outlineLevel="0" collapsed="false">
      <c r="B438" s="33"/>
      <c r="C438" s="29"/>
    </row>
    <row r="439" customFormat="false" ht="18.75" hidden="false" customHeight="true" outlineLevel="0" collapsed="false">
      <c r="B439" s="33"/>
      <c r="C439" s="29"/>
    </row>
    <row r="440" customFormat="false" ht="18.75" hidden="false" customHeight="true" outlineLevel="0" collapsed="false">
      <c r="B440" s="33"/>
      <c r="C440" s="29"/>
    </row>
    <row r="441" customFormat="false" ht="18.75" hidden="false" customHeight="true" outlineLevel="0" collapsed="false">
      <c r="B441" s="33"/>
      <c r="C441" s="29"/>
    </row>
    <row r="442" customFormat="false" ht="18.75" hidden="false" customHeight="true" outlineLevel="0" collapsed="false">
      <c r="B442" s="33"/>
      <c r="C442" s="29"/>
    </row>
    <row r="443" customFormat="false" ht="18.75" hidden="false" customHeight="true" outlineLevel="0" collapsed="false">
      <c r="B443" s="33"/>
      <c r="C443" s="29"/>
    </row>
    <row r="444" customFormat="false" ht="18.75" hidden="false" customHeight="true" outlineLevel="0" collapsed="false">
      <c r="B444" s="33"/>
      <c r="C444" s="29"/>
    </row>
    <row r="445" customFormat="false" ht="18.75" hidden="false" customHeight="true" outlineLevel="0" collapsed="false">
      <c r="B445" s="33"/>
      <c r="C445" s="29"/>
    </row>
    <row r="446" customFormat="false" ht="18.75" hidden="false" customHeight="true" outlineLevel="0" collapsed="false">
      <c r="B446" s="33"/>
      <c r="C446" s="29"/>
    </row>
    <row r="447" customFormat="false" ht="18.75" hidden="false" customHeight="true" outlineLevel="0" collapsed="false">
      <c r="B447" s="33"/>
      <c r="C447" s="29"/>
    </row>
    <row r="448" customFormat="false" ht="18.75" hidden="false" customHeight="true" outlineLevel="0" collapsed="false">
      <c r="B448" s="33"/>
      <c r="C448" s="29"/>
    </row>
    <row r="449" customFormat="false" ht="18.75" hidden="false" customHeight="true" outlineLevel="0" collapsed="false">
      <c r="B449" s="33"/>
      <c r="C449" s="29"/>
    </row>
    <row r="450" customFormat="false" ht="18.75" hidden="false" customHeight="true" outlineLevel="0" collapsed="false">
      <c r="B450" s="33"/>
      <c r="C450" s="29"/>
    </row>
    <row r="451" customFormat="false" ht="18.75" hidden="false" customHeight="true" outlineLevel="0" collapsed="false">
      <c r="B451" s="33"/>
      <c r="C451" s="29"/>
    </row>
    <row r="452" customFormat="false" ht="18.75" hidden="false" customHeight="true" outlineLevel="0" collapsed="false">
      <c r="B452" s="33"/>
      <c r="C452" s="29"/>
    </row>
    <row r="453" customFormat="false" ht="18.75" hidden="false" customHeight="true" outlineLevel="0" collapsed="false">
      <c r="B453" s="33"/>
      <c r="C453" s="29"/>
    </row>
    <row r="454" customFormat="false" ht="18.75" hidden="false" customHeight="true" outlineLevel="0" collapsed="false">
      <c r="B454" s="33"/>
      <c r="C454" s="29"/>
    </row>
    <row r="455" customFormat="false" ht="18.75" hidden="false" customHeight="true" outlineLevel="0" collapsed="false">
      <c r="B455" s="33"/>
      <c r="C455" s="29"/>
    </row>
    <row r="456" customFormat="false" ht="18.75" hidden="false" customHeight="true" outlineLevel="0" collapsed="false">
      <c r="B456" s="33"/>
      <c r="C456" s="29"/>
    </row>
    <row r="457" customFormat="false" ht="18.75" hidden="false" customHeight="true" outlineLevel="0" collapsed="false">
      <c r="B457" s="33"/>
      <c r="C457" s="29"/>
    </row>
    <row r="458" customFormat="false" ht="18.75" hidden="false" customHeight="true" outlineLevel="0" collapsed="false">
      <c r="B458" s="33"/>
      <c r="C458" s="29"/>
    </row>
    <row r="459" customFormat="false" ht="18.75" hidden="false" customHeight="true" outlineLevel="0" collapsed="false">
      <c r="B459" s="33"/>
      <c r="C459" s="29"/>
    </row>
    <row r="460" customFormat="false" ht="18.75" hidden="false" customHeight="true" outlineLevel="0" collapsed="false">
      <c r="B460" s="33"/>
      <c r="C460" s="29"/>
    </row>
    <row r="461" customFormat="false" ht="18.75" hidden="false" customHeight="true" outlineLevel="0" collapsed="false">
      <c r="B461" s="33"/>
      <c r="C461" s="29"/>
    </row>
    <row r="462" customFormat="false" ht="18.75" hidden="false" customHeight="true" outlineLevel="0" collapsed="false">
      <c r="B462" s="33"/>
      <c r="C462" s="29"/>
    </row>
    <row r="463" customFormat="false" ht="18.75" hidden="false" customHeight="true" outlineLevel="0" collapsed="false">
      <c r="B463" s="33"/>
      <c r="C463" s="29"/>
    </row>
    <row r="464" customFormat="false" ht="18.75" hidden="false" customHeight="true" outlineLevel="0" collapsed="false">
      <c r="B464" s="33"/>
      <c r="C464" s="29"/>
    </row>
    <row r="465" customFormat="false" ht="18.75" hidden="false" customHeight="true" outlineLevel="0" collapsed="false">
      <c r="B465" s="33"/>
      <c r="C465" s="29"/>
    </row>
    <row r="466" customFormat="false" ht="18.75" hidden="false" customHeight="true" outlineLevel="0" collapsed="false">
      <c r="B466" s="33"/>
      <c r="C466" s="29"/>
    </row>
    <row r="467" customFormat="false" ht="18.75" hidden="false" customHeight="true" outlineLevel="0" collapsed="false">
      <c r="B467" s="33"/>
      <c r="C467" s="29"/>
    </row>
    <row r="468" customFormat="false" ht="18.75" hidden="false" customHeight="true" outlineLevel="0" collapsed="false">
      <c r="B468" s="33"/>
      <c r="C468" s="29"/>
    </row>
    <row r="469" customFormat="false" ht="18.75" hidden="false" customHeight="true" outlineLevel="0" collapsed="false">
      <c r="B469" s="33"/>
      <c r="C469" s="29"/>
    </row>
    <row r="470" customFormat="false" ht="18.75" hidden="false" customHeight="true" outlineLevel="0" collapsed="false">
      <c r="B470" s="33"/>
      <c r="C470" s="29"/>
    </row>
    <row r="471" customFormat="false" ht="18.75" hidden="false" customHeight="true" outlineLevel="0" collapsed="false">
      <c r="B471" s="33"/>
      <c r="C471" s="29"/>
    </row>
    <row r="472" customFormat="false" ht="18.75" hidden="false" customHeight="true" outlineLevel="0" collapsed="false">
      <c r="B472" s="33"/>
      <c r="C472" s="29"/>
    </row>
    <row r="473" customFormat="false" ht="18.75" hidden="false" customHeight="true" outlineLevel="0" collapsed="false">
      <c r="B473" s="33"/>
      <c r="C473" s="29"/>
    </row>
    <row r="474" customFormat="false" ht="18.75" hidden="false" customHeight="true" outlineLevel="0" collapsed="false">
      <c r="B474" s="33"/>
      <c r="C474" s="29"/>
    </row>
    <row r="475" customFormat="false" ht="18.75" hidden="false" customHeight="true" outlineLevel="0" collapsed="false">
      <c r="B475" s="33"/>
      <c r="C475" s="29"/>
    </row>
    <row r="476" customFormat="false" ht="18.75" hidden="false" customHeight="true" outlineLevel="0" collapsed="false">
      <c r="B476" s="33"/>
      <c r="C476" s="29"/>
    </row>
    <row r="477" customFormat="false" ht="18.75" hidden="false" customHeight="true" outlineLevel="0" collapsed="false">
      <c r="B477" s="33"/>
      <c r="C477" s="29"/>
    </row>
    <row r="478" customFormat="false" ht="18.75" hidden="false" customHeight="true" outlineLevel="0" collapsed="false">
      <c r="B478" s="33"/>
      <c r="C478" s="29"/>
    </row>
    <row r="479" customFormat="false" ht="18.75" hidden="false" customHeight="true" outlineLevel="0" collapsed="false">
      <c r="B479" s="33"/>
      <c r="C479" s="29"/>
    </row>
    <row r="480" customFormat="false" ht="18.75" hidden="false" customHeight="true" outlineLevel="0" collapsed="false">
      <c r="B480" s="33"/>
      <c r="C480" s="29"/>
    </row>
    <row r="481" customFormat="false" ht="18.75" hidden="false" customHeight="true" outlineLevel="0" collapsed="false">
      <c r="B481" s="33"/>
      <c r="C481" s="29"/>
    </row>
    <row r="482" customFormat="false" ht="18.75" hidden="false" customHeight="true" outlineLevel="0" collapsed="false">
      <c r="B482" s="33"/>
      <c r="C482" s="29"/>
    </row>
    <row r="483" customFormat="false" ht="18.75" hidden="false" customHeight="true" outlineLevel="0" collapsed="false">
      <c r="B483" s="33"/>
      <c r="C483" s="29"/>
    </row>
    <row r="484" customFormat="false" ht="18.75" hidden="false" customHeight="true" outlineLevel="0" collapsed="false">
      <c r="B484" s="33"/>
      <c r="C484" s="29"/>
    </row>
    <row r="485" customFormat="false" ht="18.75" hidden="false" customHeight="true" outlineLevel="0" collapsed="false">
      <c r="B485" s="33"/>
      <c r="C485" s="29"/>
    </row>
    <row r="486" customFormat="false" ht="18.75" hidden="false" customHeight="true" outlineLevel="0" collapsed="false">
      <c r="B486" s="33"/>
      <c r="C486" s="29"/>
    </row>
    <row r="487" customFormat="false" ht="18.75" hidden="false" customHeight="true" outlineLevel="0" collapsed="false">
      <c r="B487" s="33"/>
      <c r="C487" s="29"/>
    </row>
    <row r="488" customFormat="false" ht="18.75" hidden="false" customHeight="true" outlineLevel="0" collapsed="false">
      <c r="B488" s="33"/>
      <c r="C488" s="29"/>
    </row>
    <row r="489" customFormat="false" ht="18.75" hidden="false" customHeight="true" outlineLevel="0" collapsed="false">
      <c r="B489" s="33"/>
      <c r="C489" s="29"/>
    </row>
    <row r="490" customFormat="false" ht="18.75" hidden="false" customHeight="true" outlineLevel="0" collapsed="false">
      <c r="B490" s="33"/>
      <c r="C490" s="29"/>
    </row>
    <row r="491" customFormat="false" ht="18.75" hidden="false" customHeight="true" outlineLevel="0" collapsed="false">
      <c r="B491" s="33"/>
      <c r="C491" s="29"/>
    </row>
    <row r="492" customFormat="false" ht="18.75" hidden="false" customHeight="true" outlineLevel="0" collapsed="false">
      <c r="B492" s="33"/>
      <c r="C492" s="29"/>
    </row>
    <row r="493" customFormat="false" ht="18.75" hidden="false" customHeight="true" outlineLevel="0" collapsed="false">
      <c r="B493" s="33"/>
      <c r="C493" s="29"/>
    </row>
    <row r="494" customFormat="false" ht="18.75" hidden="false" customHeight="true" outlineLevel="0" collapsed="false">
      <c r="B494" s="33"/>
      <c r="C494" s="29"/>
    </row>
    <row r="495" customFormat="false" ht="18.75" hidden="false" customHeight="true" outlineLevel="0" collapsed="false">
      <c r="B495" s="33"/>
      <c r="C495" s="29"/>
    </row>
    <row r="496" customFormat="false" ht="18.75" hidden="false" customHeight="true" outlineLevel="0" collapsed="false">
      <c r="B496" s="33"/>
      <c r="C496" s="29"/>
    </row>
    <row r="497" customFormat="false" ht="18.75" hidden="false" customHeight="true" outlineLevel="0" collapsed="false">
      <c r="B497" s="33"/>
      <c r="C497" s="29"/>
    </row>
    <row r="498" customFormat="false" ht="18.75" hidden="false" customHeight="true" outlineLevel="0" collapsed="false">
      <c r="B498" s="33"/>
      <c r="C498" s="29"/>
    </row>
    <row r="499" customFormat="false" ht="18.75" hidden="false" customHeight="true" outlineLevel="0" collapsed="false">
      <c r="B499" s="33"/>
      <c r="C499" s="29"/>
    </row>
    <row r="500" customFormat="false" ht="18.75" hidden="false" customHeight="true" outlineLevel="0" collapsed="false">
      <c r="B500" s="33"/>
      <c r="C500" s="29"/>
    </row>
    <row r="501" customFormat="false" ht="18.75" hidden="false" customHeight="true" outlineLevel="0" collapsed="false">
      <c r="B501" s="33"/>
      <c r="C501" s="29"/>
    </row>
    <row r="502" customFormat="false" ht="18.75" hidden="false" customHeight="true" outlineLevel="0" collapsed="false">
      <c r="B502" s="33"/>
      <c r="C502" s="29"/>
    </row>
    <row r="503" customFormat="false" ht="18.75" hidden="false" customHeight="true" outlineLevel="0" collapsed="false">
      <c r="B503" s="33"/>
      <c r="C503" s="29"/>
    </row>
    <row r="504" customFormat="false" ht="18.75" hidden="false" customHeight="true" outlineLevel="0" collapsed="false">
      <c r="B504" s="33"/>
      <c r="C504" s="29"/>
    </row>
    <row r="505" customFormat="false" ht="18.75" hidden="false" customHeight="true" outlineLevel="0" collapsed="false">
      <c r="B505" s="33"/>
      <c r="C505" s="29"/>
    </row>
    <row r="506" customFormat="false" ht="18.75" hidden="false" customHeight="true" outlineLevel="0" collapsed="false">
      <c r="B506" s="33"/>
      <c r="C506" s="29"/>
    </row>
    <row r="507" customFormat="false" ht="18.75" hidden="false" customHeight="true" outlineLevel="0" collapsed="false">
      <c r="B507" s="33"/>
      <c r="C507" s="29"/>
    </row>
    <row r="508" customFormat="false" ht="18.75" hidden="false" customHeight="true" outlineLevel="0" collapsed="false">
      <c r="B508" s="33"/>
      <c r="C508" s="29"/>
    </row>
    <row r="509" customFormat="false" ht="18.75" hidden="false" customHeight="true" outlineLevel="0" collapsed="false">
      <c r="B509" s="33"/>
      <c r="C509" s="29"/>
    </row>
    <row r="510" customFormat="false" ht="18.75" hidden="false" customHeight="true" outlineLevel="0" collapsed="false">
      <c r="B510" s="33"/>
      <c r="C510" s="29"/>
    </row>
    <row r="511" customFormat="false" ht="18.75" hidden="false" customHeight="true" outlineLevel="0" collapsed="false">
      <c r="B511" s="33"/>
      <c r="C511" s="29"/>
    </row>
    <row r="512" customFormat="false" ht="18.75" hidden="false" customHeight="true" outlineLevel="0" collapsed="false">
      <c r="B512" s="33"/>
      <c r="C512" s="29"/>
    </row>
    <row r="513" customFormat="false" ht="18.75" hidden="false" customHeight="true" outlineLevel="0" collapsed="false">
      <c r="B513" s="33"/>
      <c r="C513" s="29"/>
    </row>
    <row r="514" customFormat="false" ht="18.75" hidden="false" customHeight="true" outlineLevel="0" collapsed="false">
      <c r="B514" s="33"/>
      <c r="C514" s="29"/>
    </row>
    <row r="515" customFormat="false" ht="18.75" hidden="false" customHeight="true" outlineLevel="0" collapsed="false">
      <c r="B515" s="33"/>
      <c r="C515" s="29"/>
    </row>
    <row r="516" customFormat="false" ht="18.75" hidden="false" customHeight="true" outlineLevel="0" collapsed="false">
      <c r="B516" s="33"/>
      <c r="C516" s="29"/>
    </row>
    <row r="517" customFormat="false" ht="18.75" hidden="false" customHeight="true" outlineLevel="0" collapsed="false">
      <c r="B517" s="33"/>
      <c r="C517" s="29"/>
    </row>
    <row r="518" customFormat="false" ht="18.75" hidden="false" customHeight="true" outlineLevel="0" collapsed="false">
      <c r="B518" s="33"/>
      <c r="C518" s="29"/>
    </row>
    <row r="519" customFormat="false" ht="18.75" hidden="false" customHeight="true" outlineLevel="0" collapsed="false">
      <c r="B519" s="33"/>
      <c r="C519" s="29"/>
    </row>
    <row r="520" customFormat="false" ht="18.75" hidden="false" customHeight="true" outlineLevel="0" collapsed="false">
      <c r="B520" s="33"/>
      <c r="C520" s="29"/>
    </row>
    <row r="521" customFormat="false" ht="18.75" hidden="false" customHeight="true" outlineLevel="0" collapsed="false">
      <c r="B521" s="33"/>
      <c r="C521" s="29"/>
    </row>
    <row r="522" customFormat="false" ht="18.75" hidden="false" customHeight="true" outlineLevel="0" collapsed="false">
      <c r="B522" s="33"/>
      <c r="C522" s="29"/>
    </row>
    <row r="523" customFormat="false" ht="18.75" hidden="false" customHeight="true" outlineLevel="0" collapsed="false">
      <c r="B523" s="33"/>
      <c r="C523" s="29"/>
    </row>
    <row r="524" customFormat="false" ht="18.75" hidden="false" customHeight="true" outlineLevel="0" collapsed="false">
      <c r="B524" s="33"/>
      <c r="C524" s="29"/>
    </row>
    <row r="525" customFormat="false" ht="18.75" hidden="false" customHeight="true" outlineLevel="0" collapsed="false">
      <c r="B525" s="33"/>
      <c r="C525" s="29"/>
    </row>
    <row r="526" customFormat="false" ht="18.75" hidden="false" customHeight="true" outlineLevel="0" collapsed="false">
      <c r="B526" s="33"/>
      <c r="C526" s="29"/>
    </row>
    <row r="527" customFormat="false" ht="18.75" hidden="false" customHeight="true" outlineLevel="0" collapsed="false">
      <c r="B527" s="33"/>
      <c r="C527" s="29"/>
    </row>
    <row r="528" customFormat="false" ht="18.75" hidden="false" customHeight="true" outlineLevel="0" collapsed="false">
      <c r="B528" s="33"/>
      <c r="C528" s="29"/>
    </row>
    <row r="529" customFormat="false" ht="18.75" hidden="false" customHeight="true" outlineLevel="0" collapsed="false">
      <c r="B529" s="33"/>
      <c r="C529" s="29"/>
    </row>
    <row r="530" customFormat="false" ht="18.75" hidden="false" customHeight="true" outlineLevel="0" collapsed="false">
      <c r="B530" s="33"/>
      <c r="C530" s="29"/>
    </row>
    <row r="531" customFormat="false" ht="18.75" hidden="false" customHeight="true" outlineLevel="0" collapsed="false">
      <c r="B531" s="33"/>
      <c r="C531" s="29"/>
    </row>
    <row r="532" customFormat="false" ht="18.75" hidden="false" customHeight="true" outlineLevel="0" collapsed="false">
      <c r="B532" s="33"/>
      <c r="C532" s="29"/>
    </row>
    <row r="533" customFormat="false" ht="18.75" hidden="false" customHeight="true" outlineLevel="0" collapsed="false">
      <c r="B533" s="33"/>
      <c r="C533" s="29"/>
    </row>
    <row r="534" customFormat="false" ht="18.75" hidden="false" customHeight="true" outlineLevel="0" collapsed="false">
      <c r="B534" s="33"/>
      <c r="C534" s="29"/>
    </row>
    <row r="535" customFormat="false" ht="18.75" hidden="false" customHeight="true" outlineLevel="0" collapsed="false">
      <c r="B535" s="33"/>
      <c r="C535" s="29"/>
    </row>
    <row r="536" customFormat="false" ht="18.75" hidden="false" customHeight="true" outlineLevel="0" collapsed="false">
      <c r="B536" s="33"/>
      <c r="C536" s="29"/>
    </row>
    <row r="537" customFormat="false" ht="18.75" hidden="false" customHeight="true" outlineLevel="0" collapsed="false">
      <c r="B537" s="33"/>
      <c r="C537" s="29"/>
    </row>
    <row r="538" customFormat="false" ht="18.75" hidden="false" customHeight="true" outlineLevel="0" collapsed="false">
      <c r="B538" s="33"/>
      <c r="C538" s="29"/>
    </row>
    <row r="539" customFormat="false" ht="18.75" hidden="false" customHeight="true" outlineLevel="0" collapsed="false">
      <c r="B539" s="33"/>
      <c r="C539" s="29"/>
    </row>
    <row r="540" customFormat="false" ht="18.75" hidden="false" customHeight="true" outlineLevel="0" collapsed="false">
      <c r="B540" s="33"/>
      <c r="C540" s="29"/>
    </row>
    <row r="541" customFormat="false" ht="18.75" hidden="false" customHeight="true" outlineLevel="0" collapsed="false">
      <c r="B541" s="33"/>
      <c r="C541" s="29"/>
    </row>
    <row r="542" customFormat="false" ht="18.75" hidden="false" customHeight="true" outlineLevel="0" collapsed="false">
      <c r="B542" s="33"/>
      <c r="C542" s="29"/>
    </row>
    <row r="543" customFormat="false" ht="18.75" hidden="false" customHeight="true" outlineLevel="0" collapsed="false">
      <c r="B543" s="33"/>
      <c r="C543" s="29"/>
    </row>
    <row r="544" customFormat="false" ht="18.75" hidden="false" customHeight="true" outlineLevel="0" collapsed="false">
      <c r="B544" s="33"/>
      <c r="C544" s="29"/>
    </row>
    <row r="545" customFormat="false" ht="18.75" hidden="false" customHeight="true" outlineLevel="0" collapsed="false">
      <c r="B545" s="33"/>
      <c r="C545" s="29"/>
    </row>
    <row r="546" customFormat="false" ht="18.75" hidden="false" customHeight="true" outlineLevel="0" collapsed="false">
      <c r="B546" s="33"/>
      <c r="C546" s="29"/>
    </row>
    <row r="547" customFormat="false" ht="18.75" hidden="false" customHeight="true" outlineLevel="0" collapsed="false">
      <c r="B547" s="33"/>
      <c r="C547" s="29"/>
    </row>
    <row r="548" customFormat="false" ht="18.75" hidden="false" customHeight="true" outlineLevel="0" collapsed="false">
      <c r="B548" s="33"/>
      <c r="C548" s="29"/>
    </row>
    <row r="549" customFormat="false" ht="18.75" hidden="false" customHeight="true" outlineLevel="0" collapsed="false">
      <c r="B549" s="33"/>
      <c r="C549" s="29"/>
    </row>
    <row r="550" customFormat="false" ht="18.75" hidden="false" customHeight="true" outlineLevel="0" collapsed="false">
      <c r="B550" s="33"/>
      <c r="C550" s="29"/>
    </row>
    <row r="551" customFormat="false" ht="18.75" hidden="false" customHeight="true" outlineLevel="0" collapsed="false">
      <c r="B551" s="33"/>
      <c r="C551" s="29"/>
    </row>
    <row r="552" customFormat="false" ht="18.75" hidden="false" customHeight="true" outlineLevel="0" collapsed="false">
      <c r="B552" s="33"/>
      <c r="C552" s="29"/>
    </row>
    <row r="553" customFormat="false" ht="18.75" hidden="false" customHeight="true" outlineLevel="0" collapsed="false">
      <c r="B553" s="33"/>
      <c r="C553" s="29"/>
    </row>
    <row r="554" customFormat="false" ht="18.75" hidden="false" customHeight="true" outlineLevel="0" collapsed="false">
      <c r="B554" s="33"/>
      <c r="C554" s="29"/>
    </row>
    <row r="555" customFormat="false" ht="18.75" hidden="false" customHeight="true" outlineLevel="0" collapsed="false">
      <c r="B555" s="33"/>
      <c r="C555" s="29"/>
    </row>
    <row r="556" customFormat="false" ht="18.75" hidden="false" customHeight="true" outlineLevel="0" collapsed="false">
      <c r="B556" s="33"/>
      <c r="C556" s="29"/>
    </row>
    <row r="557" customFormat="false" ht="18.75" hidden="false" customHeight="true" outlineLevel="0" collapsed="false">
      <c r="B557" s="33"/>
      <c r="C557" s="29"/>
    </row>
    <row r="558" customFormat="false" ht="18.75" hidden="false" customHeight="true" outlineLevel="0" collapsed="false">
      <c r="B558" s="33"/>
      <c r="C558" s="29"/>
    </row>
    <row r="559" customFormat="false" ht="18.75" hidden="false" customHeight="true" outlineLevel="0" collapsed="false">
      <c r="B559" s="33"/>
      <c r="C559" s="29"/>
    </row>
    <row r="560" customFormat="false" ht="18.75" hidden="false" customHeight="true" outlineLevel="0" collapsed="false">
      <c r="B560" s="33"/>
      <c r="C560" s="29"/>
    </row>
    <row r="561" customFormat="false" ht="18.75" hidden="false" customHeight="true" outlineLevel="0" collapsed="false">
      <c r="B561" s="33"/>
      <c r="C561" s="29"/>
    </row>
    <row r="562" customFormat="false" ht="18.75" hidden="false" customHeight="true" outlineLevel="0" collapsed="false">
      <c r="B562" s="33"/>
      <c r="C562" s="29"/>
    </row>
    <row r="563" customFormat="false" ht="18.75" hidden="false" customHeight="true" outlineLevel="0" collapsed="false">
      <c r="B563" s="33"/>
      <c r="C563" s="29"/>
    </row>
    <row r="564" customFormat="false" ht="18.75" hidden="false" customHeight="true" outlineLevel="0" collapsed="false">
      <c r="B564" s="33"/>
      <c r="C564" s="29"/>
    </row>
    <row r="565" customFormat="false" ht="18.75" hidden="false" customHeight="true" outlineLevel="0" collapsed="false">
      <c r="B565" s="33"/>
      <c r="C565" s="29"/>
    </row>
    <row r="566" customFormat="false" ht="18.75" hidden="false" customHeight="true" outlineLevel="0" collapsed="false">
      <c r="B566" s="33"/>
      <c r="C566" s="29"/>
    </row>
    <row r="567" customFormat="false" ht="18.75" hidden="false" customHeight="true" outlineLevel="0" collapsed="false">
      <c r="B567" s="33"/>
      <c r="C567" s="29"/>
    </row>
    <row r="568" customFormat="false" ht="18.75" hidden="false" customHeight="true" outlineLevel="0" collapsed="false">
      <c r="B568" s="33"/>
      <c r="C568" s="29"/>
    </row>
    <row r="569" customFormat="false" ht="18.75" hidden="false" customHeight="true" outlineLevel="0" collapsed="false">
      <c r="B569" s="33"/>
      <c r="C569" s="29"/>
    </row>
    <row r="570" customFormat="false" ht="18.75" hidden="false" customHeight="true" outlineLevel="0" collapsed="false">
      <c r="B570" s="33"/>
      <c r="C570" s="29"/>
    </row>
    <row r="571" customFormat="false" ht="18.75" hidden="false" customHeight="true" outlineLevel="0" collapsed="false">
      <c r="B571" s="33"/>
      <c r="C571" s="29"/>
    </row>
    <row r="572" customFormat="false" ht="18.75" hidden="false" customHeight="true" outlineLevel="0" collapsed="false">
      <c r="B572" s="33"/>
      <c r="C572" s="29"/>
    </row>
    <row r="573" customFormat="false" ht="18.75" hidden="false" customHeight="true" outlineLevel="0" collapsed="false">
      <c r="B573" s="33"/>
      <c r="C573" s="29"/>
    </row>
    <row r="574" customFormat="false" ht="18.75" hidden="false" customHeight="true" outlineLevel="0" collapsed="false">
      <c r="B574" s="33"/>
      <c r="C574" s="29"/>
    </row>
    <row r="575" customFormat="false" ht="18.75" hidden="false" customHeight="true" outlineLevel="0" collapsed="false">
      <c r="B575" s="33"/>
      <c r="C575" s="29"/>
    </row>
    <row r="576" customFormat="false" ht="18.75" hidden="false" customHeight="true" outlineLevel="0" collapsed="false">
      <c r="B576" s="33"/>
      <c r="C576" s="29"/>
    </row>
    <row r="577" customFormat="false" ht="18.75" hidden="false" customHeight="true" outlineLevel="0" collapsed="false">
      <c r="B577" s="33"/>
      <c r="C577" s="29"/>
    </row>
    <row r="578" customFormat="false" ht="18.75" hidden="false" customHeight="true" outlineLevel="0" collapsed="false">
      <c r="B578" s="33"/>
      <c r="C578" s="29"/>
    </row>
    <row r="579" customFormat="false" ht="18.75" hidden="false" customHeight="true" outlineLevel="0" collapsed="false">
      <c r="B579" s="33"/>
      <c r="C579" s="29"/>
    </row>
    <row r="580" customFormat="false" ht="18.75" hidden="false" customHeight="true" outlineLevel="0" collapsed="false">
      <c r="B580" s="33"/>
      <c r="C580" s="29"/>
    </row>
    <row r="581" customFormat="false" ht="18.75" hidden="false" customHeight="true" outlineLevel="0" collapsed="false">
      <c r="B581" s="33"/>
      <c r="C581" s="29"/>
    </row>
    <row r="582" customFormat="false" ht="18.75" hidden="false" customHeight="true" outlineLevel="0" collapsed="false">
      <c r="B582" s="33"/>
      <c r="C582" s="29"/>
    </row>
    <row r="583" customFormat="false" ht="18.75" hidden="false" customHeight="true" outlineLevel="0" collapsed="false">
      <c r="B583" s="33"/>
      <c r="C583" s="29"/>
    </row>
    <row r="584" customFormat="false" ht="18.75" hidden="false" customHeight="true" outlineLevel="0" collapsed="false">
      <c r="B584" s="33"/>
      <c r="C584" s="29"/>
    </row>
    <row r="585" customFormat="false" ht="18.75" hidden="false" customHeight="true" outlineLevel="0" collapsed="false">
      <c r="B585" s="33"/>
      <c r="C585" s="29"/>
    </row>
    <row r="586" customFormat="false" ht="18.75" hidden="false" customHeight="true" outlineLevel="0" collapsed="false">
      <c r="B586" s="33"/>
      <c r="C586" s="29"/>
    </row>
    <row r="587" customFormat="false" ht="18.75" hidden="false" customHeight="true" outlineLevel="0" collapsed="false">
      <c r="B587" s="33"/>
      <c r="C587" s="29"/>
    </row>
    <row r="588" customFormat="false" ht="18.75" hidden="false" customHeight="true" outlineLevel="0" collapsed="false">
      <c r="B588" s="33"/>
      <c r="C588" s="29"/>
    </row>
    <row r="589" customFormat="false" ht="18.75" hidden="false" customHeight="true" outlineLevel="0" collapsed="false">
      <c r="B589" s="33"/>
      <c r="C589" s="29"/>
    </row>
    <row r="590" customFormat="false" ht="18.75" hidden="false" customHeight="true" outlineLevel="0" collapsed="false">
      <c r="B590" s="33"/>
      <c r="C590" s="29"/>
    </row>
    <row r="591" customFormat="false" ht="18.75" hidden="false" customHeight="true" outlineLevel="0" collapsed="false">
      <c r="B591" s="33"/>
      <c r="C591" s="29"/>
    </row>
    <row r="592" customFormat="false" ht="18.75" hidden="false" customHeight="true" outlineLevel="0" collapsed="false">
      <c r="B592" s="33"/>
      <c r="C592" s="29"/>
    </row>
    <row r="593" customFormat="false" ht="18.75" hidden="false" customHeight="true" outlineLevel="0" collapsed="false">
      <c r="B593" s="33"/>
      <c r="C593" s="29"/>
    </row>
    <row r="594" customFormat="false" ht="18.75" hidden="false" customHeight="true" outlineLevel="0" collapsed="false">
      <c r="B594" s="33"/>
      <c r="C594" s="29"/>
    </row>
    <row r="595" customFormat="false" ht="18.75" hidden="false" customHeight="true" outlineLevel="0" collapsed="false">
      <c r="B595" s="33"/>
      <c r="C595" s="29"/>
    </row>
    <row r="596" customFormat="false" ht="18.75" hidden="false" customHeight="true" outlineLevel="0" collapsed="false">
      <c r="B596" s="33"/>
      <c r="C596" s="29"/>
    </row>
    <row r="597" customFormat="false" ht="18.75" hidden="false" customHeight="true" outlineLevel="0" collapsed="false">
      <c r="B597" s="33"/>
      <c r="C597" s="29"/>
    </row>
    <row r="598" customFormat="false" ht="18.75" hidden="false" customHeight="true" outlineLevel="0" collapsed="false">
      <c r="B598" s="33"/>
      <c r="C598" s="29"/>
    </row>
    <row r="599" customFormat="false" ht="18.75" hidden="false" customHeight="true" outlineLevel="0" collapsed="false">
      <c r="B599" s="33"/>
      <c r="C599" s="29"/>
    </row>
    <row r="600" customFormat="false" ht="18.75" hidden="false" customHeight="true" outlineLevel="0" collapsed="false">
      <c r="B600" s="33"/>
      <c r="C600" s="29"/>
    </row>
    <row r="601" customFormat="false" ht="18.75" hidden="false" customHeight="true" outlineLevel="0" collapsed="false">
      <c r="B601" s="33"/>
      <c r="C601" s="29"/>
    </row>
    <row r="602" customFormat="false" ht="18.75" hidden="false" customHeight="true" outlineLevel="0" collapsed="false">
      <c r="B602" s="33"/>
      <c r="C602" s="29"/>
    </row>
    <row r="603" customFormat="false" ht="18.75" hidden="false" customHeight="true" outlineLevel="0" collapsed="false">
      <c r="B603" s="33"/>
      <c r="C603" s="29"/>
    </row>
    <row r="604" customFormat="false" ht="18.75" hidden="false" customHeight="true" outlineLevel="0" collapsed="false">
      <c r="B604" s="33"/>
      <c r="C604" s="29"/>
    </row>
    <row r="605" customFormat="false" ht="18.75" hidden="false" customHeight="true" outlineLevel="0" collapsed="false">
      <c r="B605" s="33"/>
      <c r="C605" s="29"/>
    </row>
    <row r="606" customFormat="false" ht="18.75" hidden="false" customHeight="true" outlineLevel="0" collapsed="false">
      <c r="B606" s="33"/>
      <c r="C606" s="29"/>
    </row>
    <row r="607" customFormat="false" ht="18.75" hidden="false" customHeight="true" outlineLevel="0" collapsed="false">
      <c r="B607" s="33"/>
      <c r="C607" s="29"/>
    </row>
    <row r="608" customFormat="false" ht="18.75" hidden="false" customHeight="true" outlineLevel="0" collapsed="false">
      <c r="B608" s="33"/>
      <c r="C608" s="29"/>
    </row>
    <row r="609" customFormat="false" ht="18.75" hidden="false" customHeight="true" outlineLevel="0" collapsed="false">
      <c r="B609" s="33"/>
      <c r="C609" s="29"/>
    </row>
    <row r="610" customFormat="false" ht="18.75" hidden="false" customHeight="true" outlineLevel="0" collapsed="false">
      <c r="B610" s="33"/>
      <c r="C610" s="29"/>
    </row>
    <row r="611" customFormat="false" ht="18.75" hidden="false" customHeight="true" outlineLevel="0" collapsed="false">
      <c r="B611" s="33"/>
      <c r="C611" s="29"/>
    </row>
    <row r="612" customFormat="false" ht="18.75" hidden="false" customHeight="true" outlineLevel="0" collapsed="false">
      <c r="B612" s="33"/>
      <c r="C612" s="29"/>
    </row>
    <row r="613" customFormat="false" ht="18.75" hidden="false" customHeight="true" outlineLevel="0" collapsed="false">
      <c r="B613" s="33"/>
      <c r="C613" s="29"/>
    </row>
    <row r="614" customFormat="false" ht="18.75" hidden="false" customHeight="true" outlineLevel="0" collapsed="false">
      <c r="B614" s="33"/>
      <c r="C614" s="29"/>
    </row>
    <row r="615" customFormat="false" ht="18.75" hidden="false" customHeight="true" outlineLevel="0" collapsed="false">
      <c r="B615" s="33"/>
      <c r="C615" s="29"/>
    </row>
    <row r="616" customFormat="false" ht="18.75" hidden="false" customHeight="true" outlineLevel="0" collapsed="false">
      <c r="B616" s="33"/>
      <c r="C616" s="29"/>
    </row>
    <row r="617" customFormat="false" ht="18.75" hidden="false" customHeight="true" outlineLevel="0" collapsed="false">
      <c r="B617" s="33"/>
      <c r="C617" s="29"/>
    </row>
    <row r="618" customFormat="false" ht="18.75" hidden="false" customHeight="true" outlineLevel="0" collapsed="false">
      <c r="B618" s="33"/>
      <c r="C618" s="29"/>
    </row>
    <row r="619" customFormat="false" ht="18.75" hidden="false" customHeight="true" outlineLevel="0" collapsed="false">
      <c r="B619" s="33"/>
      <c r="C619" s="29"/>
    </row>
    <row r="620" customFormat="false" ht="18.75" hidden="false" customHeight="true" outlineLevel="0" collapsed="false">
      <c r="B620" s="33"/>
      <c r="C620" s="29"/>
    </row>
    <row r="621" customFormat="false" ht="18.75" hidden="false" customHeight="true" outlineLevel="0" collapsed="false">
      <c r="B621" s="33"/>
      <c r="C621" s="29"/>
    </row>
    <row r="622" customFormat="false" ht="18.75" hidden="false" customHeight="true" outlineLevel="0" collapsed="false">
      <c r="B622" s="33"/>
      <c r="C622" s="29"/>
    </row>
    <row r="623" customFormat="false" ht="18.75" hidden="false" customHeight="true" outlineLevel="0" collapsed="false">
      <c r="B623" s="33"/>
      <c r="C623" s="29"/>
    </row>
    <row r="624" customFormat="false" ht="18.75" hidden="false" customHeight="true" outlineLevel="0" collapsed="false">
      <c r="B624" s="33"/>
      <c r="C624" s="29"/>
    </row>
    <row r="625" customFormat="false" ht="18.75" hidden="false" customHeight="true" outlineLevel="0" collapsed="false">
      <c r="B625" s="33"/>
      <c r="C625" s="29"/>
    </row>
    <row r="626" customFormat="false" ht="18.75" hidden="false" customHeight="true" outlineLevel="0" collapsed="false">
      <c r="B626" s="33"/>
      <c r="C626" s="29"/>
    </row>
    <row r="627" customFormat="false" ht="18.75" hidden="false" customHeight="true" outlineLevel="0" collapsed="false">
      <c r="B627" s="33"/>
      <c r="C627" s="29"/>
    </row>
    <row r="628" customFormat="false" ht="18.75" hidden="false" customHeight="true" outlineLevel="0" collapsed="false">
      <c r="B628" s="33"/>
      <c r="C628" s="29"/>
    </row>
    <row r="629" customFormat="false" ht="18.75" hidden="false" customHeight="true" outlineLevel="0" collapsed="false">
      <c r="B629" s="33"/>
      <c r="C629" s="29"/>
    </row>
    <row r="630" customFormat="false" ht="18.75" hidden="false" customHeight="true" outlineLevel="0" collapsed="false">
      <c r="B630" s="33"/>
      <c r="C630" s="29"/>
    </row>
    <row r="631" customFormat="false" ht="18.75" hidden="false" customHeight="true" outlineLevel="0" collapsed="false">
      <c r="B631" s="33"/>
      <c r="C631" s="29"/>
    </row>
    <row r="632" customFormat="false" ht="18.75" hidden="false" customHeight="true" outlineLevel="0" collapsed="false">
      <c r="B632" s="33"/>
      <c r="C632" s="29"/>
    </row>
    <row r="633" customFormat="false" ht="18.75" hidden="false" customHeight="true" outlineLevel="0" collapsed="false">
      <c r="B633" s="33"/>
      <c r="C633" s="29"/>
    </row>
    <row r="634" customFormat="false" ht="18.75" hidden="false" customHeight="true" outlineLevel="0" collapsed="false">
      <c r="B634" s="33"/>
      <c r="C634" s="29"/>
    </row>
    <row r="635" customFormat="false" ht="18.75" hidden="false" customHeight="true" outlineLevel="0" collapsed="false">
      <c r="B635" s="33"/>
      <c r="C635" s="29"/>
    </row>
    <row r="636" customFormat="false" ht="18.75" hidden="false" customHeight="true" outlineLevel="0" collapsed="false">
      <c r="B636" s="33"/>
      <c r="C636" s="29"/>
    </row>
    <row r="637" customFormat="false" ht="18.75" hidden="false" customHeight="true" outlineLevel="0" collapsed="false">
      <c r="B637" s="33"/>
      <c r="C637" s="29"/>
    </row>
    <row r="638" customFormat="false" ht="18.75" hidden="false" customHeight="true" outlineLevel="0" collapsed="false">
      <c r="B638" s="33"/>
      <c r="C638" s="29"/>
    </row>
    <row r="639" customFormat="false" ht="18.75" hidden="false" customHeight="true" outlineLevel="0" collapsed="false">
      <c r="B639" s="33"/>
      <c r="C639" s="29"/>
    </row>
    <row r="640" customFormat="false" ht="18.75" hidden="false" customHeight="true" outlineLevel="0" collapsed="false">
      <c r="B640" s="33"/>
      <c r="C640" s="29"/>
    </row>
    <row r="641" customFormat="false" ht="18.75" hidden="false" customHeight="true" outlineLevel="0" collapsed="false">
      <c r="B641" s="33"/>
      <c r="C641" s="29"/>
    </row>
    <row r="642" customFormat="false" ht="18.75" hidden="false" customHeight="true" outlineLevel="0" collapsed="false">
      <c r="B642" s="33"/>
      <c r="C642" s="29"/>
    </row>
    <row r="643" customFormat="false" ht="18.75" hidden="false" customHeight="true" outlineLevel="0" collapsed="false">
      <c r="B643" s="33"/>
      <c r="C643" s="29"/>
    </row>
    <row r="644" customFormat="false" ht="18.75" hidden="false" customHeight="true" outlineLevel="0" collapsed="false">
      <c r="B644" s="33"/>
      <c r="C644" s="29"/>
    </row>
    <row r="645" customFormat="false" ht="18.75" hidden="false" customHeight="true" outlineLevel="0" collapsed="false">
      <c r="B645" s="33"/>
      <c r="C645" s="29"/>
    </row>
    <row r="646" customFormat="false" ht="18.75" hidden="false" customHeight="true" outlineLevel="0" collapsed="false">
      <c r="B646" s="33"/>
      <c r="C646" s="29"/>
    </row>
    <row r="647" customFormat="false" ht="18.75" hidden="false" customHeight="true" outlineLevel="0" collapsed="false">
      <c r="B647" s="33"/>
      <c r="C647" s="29"/>
    </row>
    <row r="648" customFormat="false" ht="18.75" hidden="false" customHeight="true" outlineLevel="0" collapsed="false">
      <c r="B648" s="33"/>
      <c r="C648" s="29"/>
    </row>
    <row r="649" customFormat="false" ht="18.75" hidden="false" customHeight="true" outlineLevel="0" collapsed="false">
      <c r="B649" s="33"/>
      <c r="C649" s="29"/>
    </row>
    <row r="650" customFormat="false" ht="18.75" hidden="false" customHeight="true" outlineLevel="0" collapsed="false">
      <c r="B650" s="33"/>
      <c r="C650" s="29"/>
    </row>
    <row r="651" customFormat="false" ht="18.75" hidden="false" customHeight="true" outlineLevel="0" collapsed="false">
      <c r="B651" s="33"/>
      <c r="C651" s="29"/>
    </row>
    <row r="652" customFormat="false" ht="18.75" hidden="false" customHeight="true" outlineLevel="0" collapsed="false">
      <c r="B652" s="33"/>
      <c r="C652" s="29"/>
    </row>
    <row r="653" customFormat="false" ht="18.75" hidden="false" customHeight="true" outlineLevel="0" collapsed="false">
      <c r="B653" s="33"/>
      <c r="C653" s="29"/>
    </row>
    <row r="654" customFormat="false" ht="18.75" hidden="false" customHeight="true" outlineLevel="0" collapsed="false">
      <c r="B654" s="33"/>
      <c r="C654" s="29"/>
    </row>
    <row r="655" customFormat="false" ht="18.75" hidden="false" customHeight="true" outlineLevel="0" collapsed="false">
      <c r="B655" s="33"/>
      <c r="C655" s="29"/>
    </row>
    <row r="656" customFormat="false" ht="18.75" hidden="false" customHeight="true" outlineLevel="0" collapsed="false">
      <c r="B656" s="33"/>
      <c r="C656" s="29"/>
    </row>
    <row r="657" customFormat="false" ht="18.75" hidden="false" customHeight="true" outlineLevel="0" collapsed="false">
      <c r="B657" s="33"/>
      <c r="C657" s="29"/>
    </row>
    <row r="658" customFormat="false" ht="18.75" hidden="false" customHeight="true" outlineLevel="0" collapsed="false">
      <c r="B658" s="33"/>
      <c r="C658" s="29"/>
    </row>
    <row r="659" customFormat="false" ht="18.75" hidden="false" customHeight="true" outlineLevel="0" collapsed="false">
      <c r="B659" s="33"/>
      <c r="C659" s="29"/>
    </row>
    <row r="660" customFormat="false" ht="18.75" hidden="false" customHeight="true" outlineLevel="0" collapsed="false">
      <c r="B660" s="33"/>
      <c r="C660" s="29"/>
    </row>
    <row r="661" customFormat="false" ht="18.75" hidden="false" customHeight="true" outlineLevel="0" collapsed="false">
      <c r="B661" s="33"/>
      <c r="C661" s="29"/>
    </row>
    <row r="662" customFormat="false" ht="18.75" hidden="false" customHeight="true" outlineLevel="0" collapsed="false">
      <c r="B662" s="33"/>
      <c r="C662" s="29"/>
    </row>
    <row r="663" customFormat="false" ht="18.75" hidden="false" customHeight="true" outlineLevel="0" collapsed="false">
      <c r="B663" s="33"/>
      <c r="C663" s="29"/>
    </row>
    <row r="664" customFormat="false" ht="18.75" hidden="false" customHeight="true" outlineLevel="0" collapsed="false">
      <c r="B664" s="33"/>
      <c r="C664" s="29"/>
    </row>
    <row r="665" customFormat="false" ht="18.75" hidden="false" customHeight="true" outlineLevel="0" collapsed="false">
      <c r="B665" s="33"/>
      <c r="C665" s="29"/>
    </row>
    <row r="666" customFormat="false" ht="18.75" hidden="false" customHeight="true" outlineLevel="0" collapsed="false">
      <c r="B666" s="33"/>
      <c r="C666" s="29"/>
    </row>
    <row r="667" customFormat="false" ht="18.75" hidden="false" customHeight="true" outlineLevel="0" collapsed="false">
      <c r="B667" s="33"/>
      <c r="C667" s="29"/>
    </row>
    <row r="668" customFormat="false" ht="18.75" hidden="false" customHeight="true" outlineLevel="0" collapsed="false">
      <c r="B668" s="33"/>
      <c r="C668" s="29"/>
    </row>
    <row r="669" customFormat="false" ht="18.75" hidden="false" customHeight="true" outlineLevel="0" collapsed="false">
      <c r="B669" s="33"/>
      <c r="C669" s="29"/>
    </row>
    <row r="670" customFormat="false" ht="18.75" hidden="false" customHeight="true" outlineLevel="0" collapsed="false">
      <c r="B670" s="33"/>
      <c r="C670" s="29"/>
    </row>
    <row r="671" customFormat="false" ht="18.75" hidden="false" customHeight="true" outlineLevel="0" collapsed="false">
      <c r="B671" s="33"/>
      <c r="C671" s="29"/>
    </row>
    <row r="672" customFormat="false" ht="18.75" hidden="false" customHeight="true" outlineLevel="0" collapsed="false">
      <c r="B672" s="33"/>
      <c r="C672" s="29"/>
    </row>
    <row r="673" customFormat="false" ht="18.75" hidden="false" customHeight="true" outlineLevel="0" collapsed="false">
      <c r="B673" s="33"/>
      <c r="C673" s="29"/>
    </row>
    <row r="674" customFormat="false" ht="18.75" hidden="false" customHeight="true" outlineLevel="0" collapsed="false">
      <c r="B674" s="33"/>
      <c r="C674" s="29"/>
    </row>
    <row r="675" customFormat="false" ht="18.75" hidden="false" customHeight="true" outlineLevel="0" collapsed="false">
      <c r="B675" s="33"/>
      <c r="C675" s="29"/>
    </row>
    <row r="676" customFormat="false" ht="18.75" hidden="false" customHeight="true" outlineLevel="0" collapsed="false">
      <c r="B676" s="33"/>
      <c r="C676" s="29"/>
    </row>
    <row r="677" customFormat="false" ht="18.75" hidden="false" customHeight="true" outlineLevel="0" collapsed="false">
      <c r="B677" s="33"/>
      <c r="C677" s="29"/>
    </row>
    <row r="678" customFormat="false" ht="18.75" hidden="false" customHeight="true" outlineLevel="0" collapsed="false">
      <c r="B678" s="33"/>
      <c r="C678" s="29"/>
    </row>
    <row r="679" customFormat="false" ht="18.75" hidden="false" customHeight="true" outlineLevel="0" collapsed="false">
      <c r="B679" s="33"/>
      <c r="C679" s="29"/>
    </row>
    <row r="680" customFormat="false" ht="18.75" hidden="false" customHeight="true" outlineLevel="0" collapsed="false">
      <c r="B680" s="33"/>
      <c r="C680" s="29"/>
    </row>
    <row r="681" customFormat="false" ht="18.75" hidden="false" customHeight="true" outlineLevel="0" collapsed="false">
      <c r="B681" s="33"/>
      <c r="C681" s="29"/>
    </row>
    <row r="682" customFormat="false" ht="18.75" hidden="false" customHeight="true" outlineLevel="0" collapsed="false">
      <c r="B682" s="33"/>
      <c r="C682" s="29"/>
    </row>
    <row r="683" customFormat="false" ht="18.75" hidden="false" customHeight="true" outlineLevel="0" collapsed="false">
      <c r="B683" s="33"/>
      <c r="C683" s="29"/>
    </row>
    <row r="684" customFormat="false" ht="18.75" hidden="false" customHeight="true" outlineLevel="0" collapsed="false">
      <c r="B684" s="33"/>
      <c r="C684" s="29"/>
    </row>
    <row r="685" customFormat="false" ht="18.75" hidden="false" customHeight="true" outlineLevel="0" collapsed="false">
      <c r="B685" s="33"/>
      <c r="C685" s="29"/>
    </row>
    <row r="686" customFormat="false" ht="18.75" hidden="false" customHeight="true" outlineLevel="0" collapsed="false">
      <c r="B686" s="33"/>
      <c r="C686" s="29"/>
    </row>
    <row r="687" customFormat="false" ht="18.75" hidden="false" customHeight="true" outlineLevel="0" collapsed="false">
      <c r="B687" s="33"/>
      <c r="C687" s="29"/>
    </row>
    <row r="688" customFormat="false" ht="18.75" hidden="false" customHeight="true" outlineLevel="0" collapsed="false">
      <c r="B688" s="33"/>
      <c r="C688" s="29"/>
    </row>
    <row r="689" customFormat="false" ht="18.75" hidden="false" customHeight="true" outlineLevel="0" collapsed="false">
      <c r="B689" s="33"/>
      <c r="C689" s="29"/>
    </row>
    <row r="690" customFormat="false" ht="18.75" hidden="false" customHeight="true" outlineLevel="0" collapsed="false">
      <c r="B690" s="33"/>
      <c r="C690" s="29"/>
    </row>
    <row r="691" customFormat="false" ht="18.75" hidden="false" customHeight="true" outlineLevel="0" collapsed="false">
      <c r="B691" s="33"/>
      <c r="C691" s="29"/>
    </row>
    <row r="692" customFormat="false" ht="18.75" hidden="false" customHeight="true" outlineLevel="0" collapsed="false">
      <c r="B692" s="33"/>
      <c r="C692" s="29"/>
    </row>
    <row r="693" customFormat="false" ht="18.75" hidden="false" customHeight="true" outlineLevel="0" collapsed="false">
      <c r="B693" s="33"/>
      <c r="C693" s="29"/>
    </row>
    <row r="694" customFormat="false" ht="18.75" hidden="false" customHeight="true" outlineLevel="0" collapsed="false">
      <c r="B694" s="33"/>
      <c r="C694" s="29"/>
    </row>
    <row r="695" customFormat="false" ht="18.75" hidden="false" customHeight="true" outlineLevel="0" collapsed="false">
      <c r="B695" s="33"/>
      <c r="C695" s="29"/>
    </row>
    <row r="696" customFormat="false" ht="18.75" hidden="false" customHeight="true" outlineLevel="0" collapsed="false">
      <c r="B696" s="33"/>
      <c r="C696" s="29"/>
    </row>
    <row r="697" customFormat="false" ht="18.75" hidden="false" customHeight="true" outlineLevel="0" collapsed="false">
      <c r="B697" s="33"/>
      <c r="C697" s="29"/>
    </row>
    <row r="698" customFormat="false" ht="18.75" hidden="false" customHeight="true" outlineLevel="0" collapsed="false">
      <c r="B698" s="33"/>
      <c r="C698" s="29"/>
    </row>
    <row r="699" customFormat="false" ht="18.75" hidden="false" customHeight="true" outlineLevel="0" collapsed="false">
      <c r="B699" s="33"/>
      <c r="C699" s="29"/>
    </row>
    <row r="700" customFormat="false" ht="18.75" hidden="false" customHeight="true" outlineLevel="0" collapsed="false">
      <c r="B700" s="33"/>
      <c r="C700" s="29"/>
    </row>
    <row r="701" customFormat="false" ht="18.75" hidden="false" customHeight="true" outlineLevel="0" collapsed="false">
      <c r="B701" s="33"/>
      <c r="C701" s="29"/>
    </row>
    <row r="702" customFormat="false" ht="18.75" hidden="false" customHeight="true" outlineLevel="0" collapsed="false">
      <c r="B702" s="33"/>
      <c r="C702" s="29"/>
    </row>
    <row r="703" customFormat="false" ht="18.75" hidden="false" customHeight="true" outlineLevel="0" collapsed="false">
      <c r="B703" s="33"/>
      <c r="C703" s="29"/>
    </row>
    <row r="704" customFormat="false" ht="18.75" hidden="false" customHeight="true" outlineLevel="0" collapsed="false">
      <c r="B704" s="33"/>
      <c r="C704" s="29"/>
    </row>
    <row r="705" customFormat="false" ht="18.75" hidden="false" customHeight="true" outlineLevel="0" collapsed="false">
      <c r="B705" s="33"/>
      <c r="C705" s="29"/>
    </row>
    <row r="706" customFormat="false" ht="18.75" hidden="false" customHeight="true" outlineLevel="0" collapsed="false">
      <c r="B706" s="33"/>
      <c r="C706" s="29"/>
    </row>
    <row r="707" customFormat="false" ht="18.75" hidden="false" customHeight="true" outlineLevel="0" collapsed="false">
      <c r="B707" s="33"/>
      <c r="C707" s="29"/>
    </row>
    <row r="708" customFormat="false" ht="18.75" hidden="false" customHeight="true" outlineLevel="0" collapsed="false">
      <c r="B708" s="33"/>
      <c r="C708" s="29"/>
    </row>
    <row r="709" customFormat="false" ht="18.75" hidden="false" customHeight="true" outlineLevel="0" collapsed="false">
      <c r="B709" s="33"/>
      <c r="C709" s="29"/>
    </row>
    <row r="710" customFormat="false" ht="18.75" hidden="false" customHeight="true" outlineLevel="0" collapsed="false">
      <c r="B710" s="33"/>
      <c r="C710" s="29"/>
    </row>
    <row r="711" customFormat="false" ht="18.75" hidden="false" customHeight="true" outlineLevel="0" collapsed="false">
      <c r="B711" s="33"/>
      <c r="C711" s="29"/>
    </row>
    <row r="712" customFormat="false" ht="18.75" hidden="false" customHeight="true" outlineLevel="0" collapsed="false">
      <c r="B712" s="33"/>
      <c r="C712" s="29"/>
    </row>
    <row r="713" customFormat="false" ht="18.75" hidden="false" customHeight="true" outlineLevel="0" collapsed="false">
      <c r="B713" s="33"/>
      <c r="C713" s="29"/>
    </row>
    <row r="714" customFormat="false" ht="18.75" hidden="false" customHeight="true" outlineLevel="0" collapsed="false">
      <c r="B714" s="33"/>
      <c r="C714" s="29"/>
    </row>
    <row r="715" customFormat="false" ht="18.75" hidden="false" customHeight="true" outlineLevel="0" collapsed="false">
      <c r="B715" s="33"/>
      <c r="C715" s="29"/>
    </row>
    <row r="716" customFormat="false" ht="18.75" hidden="false" customHeight="true" outlineLevel="0" collapsed="false">
      <c r="B716" s="33"/>
      <c r="C716" s="29"/>
    </row>
    <row r="717" customFormat="false" ht="18.75" hidden="false" customHeight="true" outlineLevel="0" collapsed="false">
      <c r="B717" s="33"/>
      <c r="C717" s="29"/>
    </row>
    <row r="718" customFormat="false" ht="18.75" hidden="false" customHeight="true" outlineLevel="0" collapsed="false">
      <c r="B718" s="33"/>
      <c r="C718" s="29"/>
    </row>
    <row r="719" customFormat="false" ht="18.75" hidden="false" customHeight="true" outlineLevel="0" collapsed="false">
      <c r="B719" s="33"/>
      <c r="C719" s="29"/>
    </row>
    <row r="720" customFormat="false" ht="18.75" hidden="false" customHeight="true" outlineLevel="0" collapsed="false">
      <c r="B720" s="33"/>
      <c r="C720" s="29"/>
    </row>
    <row r="721" customFormat="false" ht="18.75" hidden="false" customHeight="true" outlineLevel="0" collapsed="false">
      <c r="B721" s="33"/>
      <c r="C721" s="29"/>
    </row>
    <row r="722" customFormat="false" ht="18.75" hidden="false" customHeight="true" outlineLevel="0" collapsed="false">
      <c r="B722" s="33"/>
      <c r="C722" s="29"/>
    </row>
    <row r="723" customFormat="false" ht="18.75" hidden="false" customHeight="true" outlineLevel="0" collapsed="false">
      <c r="B723" s="33"/>
      <c r="C723" s="29"/>
    </row>
    <row r="724" customFormat="false" ht="18.75" hidden="false" customHeight="true" outlineLevel="0" collapsed="false">
      <c r="B724" s="33"/>
      <c r="C724" s="29"/>
    </row>
    <row r="725" customFormat="false" ht="18.75" hidden="false" customHeight="true" outlineLevel="0" collapsed="false">
      <c r="B725" s="33"/>
      <c r="C725" s="29"/>
    </row>
    <row r="726" customFormat="false" ht="18.75" hidden="false" customHeight="true" outlineLevel="0" collapsed="false">
      <c r="B726" s="33"/>
      <c r="C726" s="29"/>
    </row>
    <row r="727" customFormat="false" ht="18.75" hidden="false" customHeight="true" outlineLevel="0" collapsed="false">
      <c r="B727" s="33"/>
      <c r="C727" s="29"/>
    </row>
    <row r="728" customFormat="false" ht="18.75" hidden="false" customHeight="true" outlineLevel="0" collapsed="false">
      <c r="B728" s="33"/>
      <c r="C728" s="29"/>
    </row>
    <row r="729" customFormat="false" ht="18.75" hidden="false" customHeight="true" outlineLevel="0" collapsed="false">
      <c r="B729" s="33"/>
      <c r="C729" s="29"/>
    </row>
    <row r="730" customFormat="false" ht="18.75" hidden="false" customHeight="true" outlineLevel="0" collapsed="false">
      <c r="B730" s="33"/>
      <c r="C730" s="29"/>
    </row>
    <row r="731" customFormat="false" ht="18.75" hidden="false" customHeight="true" outlineLevel="0" collapsed="false">
      <c r="B731" s="33"/>
      <c r="C731" s="29"/>
    </row>
    <row r="732" customFormat="false" ht="18.75" hidden="false" customHeight="true" outlineLevel="0" collapsed="false">
      <c r="B732" s="33"/>
      <c r="C732" s="29"/>
    </row>
    <row r="733" customFormat="false" ht="18.75" hidden="false" customHeight="true" outlineLevel="0" collapsed="false">
      <c r="B733" s="33"/>
      <c r="C733" s="29"/>
    </row>
    <row r="734" customFormat="false" ht="18.75" hidden="false" customHeight="true" outlineLevel="0" collapsed="false">
      <c r="B734" s="33"/>
      <c r="C734" s="29"/>
    </row>
    <row r="735" customFormat="false" ht="18.75" hidden="false" customHeight="true" outlineLevel="0" collapsed="false">
      <c r="B735" s="33"/>
      <c r="C735" s="29"/>
    </row>
    <row r="736" customFormat="false" ht="18.75" hidden="false" customHeight="true" outlineLevel="0" collapsed="false">
      <c r="B736" s="33"/>
      <c r="C736" s="29"/>
    </row>
    <row r="737" customFormat="false" ht="18.75" hidden="false" customHeight="true" outlineLevel="0" collapsed="false">
      <c r="B737" s="33"/>
      <c r="C737" s="29"/>
    </row>
    <row r="738" customFormat="false" ht="18.75" hidden="false" customHeight="true" outlineLevel="0" collapsed="false">
      <c r="B738" s="33"/>
      <c r="C738" s="29"/>
    </row>
    <row r="739" customFormat="false" ht="18.75" hidden="false" customHeight="true" outlineLevel="0" collapsed="false">
      <c r="B739" s="33"/>
      <c r="C739" s="29"/>
    </row>
    <row r="740" customFormat="false" ht="18.75" hidden="false" customHeight="true" outlineLevel="0" collapsed="false">
      <c r="B740" s="33"/>
      <c r="C740" s="29"/>
    </row>
    <row r="741" customFormat="false" ht="18.75" hidden="false" customHeight="true" outlineLevel="0" collapsed="false">
      <c r="B741" s="33"/>
      <c r="C741" s="29"/>
    </row>
    <row r="742" customFormat="false" ht="18.75" hidden="false" customHeight="true" outlineLevel="0" collapsed="false">
      <c r="B742" s="33"/>
      <c r="C742" s="29"/>
    </row>
    <row r="743" customFormat="false" ht="18.75" hidden="false" customHeight="true" outlineLevel="0" collapsed="false">
      <c r="B743" s="33"/>
      <c r="C743" s="29"/>
    </row>
    <row r="744" customFormat="false" ht="18.75" hidden="false" customHeight="true" outlineLevel="0" collapsed="false">
      <c r="B744" s="33"/>
      <c r="C744" s="29"/>
    </row>
    <row r="745" customFormat="false" ht="18.75" hidden="false" customHeight="true" outlineLevel="0" collapsed="false">
      <c r="B745" s="33"/>
      <c r="C745" s="29"/>
    </row>
    <row r="746" customFormat="false" ht="18.75" hidden="false" customHeight="true" outlineLevel="0" collapsed="false">
      <c r="B746" s="33"/>
      <c r="C746" s="29"/>
    </row>
    <row r="747" customFormat="false" ht="18.75" hidden="false" customHeight="true" outlineLevel="0" collapsed="false">
      <c r="B747" s="33"/>
      <c r="C747" s="29"/>
    </row>
    <row r="748" customFormat="false" ht="18.75" hidden="false" customHeight="true" outlineLevel="0" collapsed="false">
      <c r="B748" s="33"/>
      <c r="C748" s="29"/>
    </row>
    <row r="749" customFormat="false" ht="18.75" hidden="false" customHeight="true" outlineLevel="0" collapsed="false">
      <c r="B749" s="33"/>
      <c r="C749" s="29"/>
    </row>
    <row r="750" customFormat="false" ht="18.75" hidden="false" customHeight="true" outlineLevel="0" collapsed="false">
      <c r="B750" s="33"/>
      <c r="C750" s="29"/>
    </row>
    <row r="751" customFormat="false" ht="18.75" hidden="false" customHeight="true" outlineLevel="0" collapsed="false">
      <c r="B751" s="33"/>
      <c r="C751" s="29"/>
    </row>
    <row r="752" customFormat="false" ht="18.75" hidden="false" customHeight="true" outlineLevel="0" collapsed="false">
      <c r="B752" s="33"/>
      <c r="C752" s="29"/>
    </row>
    <row r="753" customFormat="false" ht="18.75" hidden="false" customHeight="true" outlineLevel="0" collapsed="false">
      <c r="B753" s="33"/>
      <c r="C753" s="29"/>
    </row>
    <row r="754" customFormat="false" ht="18.75" hidden="false" customHeight="true" outlineLevel="0" collapsed="false">
      <c r="B754" s="33"/>
      <c r="C754" s="29"/>
    </row>
    <row r="755" customFormat="false" ht="18.75" hidden="false" customHeight="true" outlineLevel="0" collapsed="false">
      <c r="B755" s="33"/>
      <c r="C755" s="29"/>
    </row>
    <row r="756" customFormat="false" ht="18.75" hidden="false" customHeight="true" outlineLevel="0" collapsed="false">
      <c r="B756" s="33"/>
      <c r="C756" s="29"/>
    </row>
    <row r="757" customFormat="false" ht="18.75" hidden="false" customHeight="true" outlineLevel="0" collapsed="false">
      <c r="B757" s="33"/>
      <c r="C757" s="29"/>
    </row>
    <row r="758" customFormat="false" ht="18.75" hidden="false" customHeight="true" outlineLevel="0" collapsed="false">
      <c r="B758" s="33"/>
      <c r="C758" s="29"/>
    </row>
    <row r="759" customFormat="false" ht="18.75" hidden="false" customHeight="true" outlineLevel="0" collapsed="false">
      <c r="B759" s="33"/>
      <c r="C759" s="29"/>
    </row>
    <row r="760" customFormat="false" ht="18.75" hidden="false" customHeight="true" outlineLevel="0" collapsed="false">
      <c r="B760" s="33"/>
      <c r="C760" s="29"/>
    </row>
    <row r="761" customFormat="false" ht="18.75" hidden="false" customHeight="true" outlineLevel="0" collapsed="false">
      <c r="B761" s="33"/>
      <c r="C761" s="29"/>
    </row>
    <row r="762" customFormat="false" ht="18.75" hidden="false" customHeight="true" outlineLevel="0" collapsed="false">
      <c r="B762" s="33"/>
      <c r="C762" s="29"/>
    </row>
    <row r="763" customFormat="false" ht="18.75" hidden="false" customHeight="true" outlineLevel="0" collapsed="false">
      <c r="B763" s="33"/>
      <c r="C763" s="29"/>
    </row>
    <row r="764" customFormat="false" ht="18.75" hidden="false" customHeight="true" outlineLevel="0" collapsed="false">
      <c r="B764" s="33"/>
      <c r="C764" s="29"/>
    </row>
    <row r="765" customFormat="false" ht="18.75" hidden="false" customHeight="true" outlineLevel="0" collapsed="false">
      <c r="B765" s="33"/>
      <c r="C765" s="29"/>
    </row>
    <row r="766" customFormat="false" ht="18.75" hidden="false" customHeight="true" outlineLevel="0" collapsed="false">
      <c r="B766" s="33"/>
      <c r="C766" s="29"/>
    </row>
    <row r="767" customFormat="false" ht="18.75" hidden="false" customHeight="true" outlineLevel="0" collapsed="false">
      <c r="B767" s="33"/>
      <c r="C767" s="29"/>
    </row>
    <row r="768" customFormat="false" ht="18.75" hidden="false" customHeight="true" outlineLevel="0" collapsed="false">
      <c r="B768" s="33"/>
      <c r="C768" s="29"/>
    </row>
    <row r="769" customFormat="false" ht="18.75" hidden="false" customHeight="true" outlineLevel="0" collapsed="false">
      <c r="B769" s="33"/>
      <c r="C769" s="29"/>
    </row>
    <row r="770" customFormat="false" ht="18.75" hidden="false" customHeight="true" outlineLevel="0" collapsed="false">
      <c r="B770" s="33"/>
      <c r="C770" s="29"/>
    </row>
    <row r="771" customFormat="false" ht="18.75" hidden="false" customHeight="true" outlineLevel="0" collapsed="false">
      <c r="B771" s="33"/>
      <c r="C771" s="29"/>
    </row>
    <row r="772" customFormat="false" ht="18.75" hidden="false" customHeight="true" outlineLevel="0" collapsed="false">
      <c r="B772" s="33"/>
      <c r="C772" s="29"/>
    </row>
    <row r="773" customFormat="false" ht="18.75" hidden="false" customHeight="true" outlineLevel="0" collapsed="false">
      <c r="B773" s="33"/>
      <c r="C773" s="29"/>
    </row>
    <row r="774" customFormat="false" ht="18.75" hidden="false" customHeight="true" outlineLevel="0" collapsed="false">
      <c r="B774" s="33"/>
      <c r="C774" s="29"/>
    </row>
    <row r="775" customFormat="false" ht="18.75" hidden="false" customHeight="true" outlineLevel="0" collapsed="false">
      <c r="B775" s="33"/>
      <c r="C775" s="29"/>
    </row>
    <row r="776" customFormat="false" ht="18.75" hidden="false" customHeight="true" outlineLevel="0" collapsed="false">
      <c r="B776" s="33"/>
      <c r="C776" s="29"/>
    </row>
    <row r="777" customFormat="false" ht="18.75" hidden="false" customHeight="true" outlineLevel="0" collapsed="false">
      <c r="B777" s="33"/>
      <c r="C777" s="29"/>
    </row>
    <row r="778" customFormat="false" ht="18.75" hidden="false" customHeight="true" outlineLevel="0" collapsed="false">
      <c r="B778" s="33"/>
      <c r="C778" s="29"/>
    </row>
    <row r="779" customFormat="false" ht="18.75" hidden="false" customHeight="true" outlineLevel="0" collapsed="false">
      <c r="B779" s="33"/>
      <c r="C779" s="29"/>
    </row>
    <row r="780" customFormat="false" ht="18.75" hidden="false" customHeight="true" outlineLevel="0" collapsed="false">
      <c r="B780" s="33"/>
      <c r="C780" s="29"/>
    </row>
    <row r="781" customFormat="false" ht="18.75" hidden="false" customHeight="true" outlineLevel="0" collapsed="false">
      <c r="B781" s="33"/>
      <c r="C781" s="29"/>
    </row>
    <row r="782" customFormat="false" ht="18.75" hidden="false" customHeight="true" outlineLevel="0" collapsed="false">
      <c r="B782" s="33"/>
      <c r="C782" s="29"/>
    </row>
    <row r="783" customFormat="false" ht="18.75" hidden="false" customHeight="true" outlineLevel="0" collapsed="false">
      <c r="B783" s="33"/>
      <c r="C783" s="29"/>
    </row>
    <row r="784" customFormat="false" ht="18.75" hidden="false" customHeight="true" outlineLevel="0" collapsed="false">
      <c r="B784" s="33"/>
      <c r="C784" s="29"/>
    </row>
    <row r="785" customFormat="false" ht="18.75" hidden="false" customHeight="true" outlineLevel="0" collapsed="false">
      <c r="B785" s="33"/>
      <c r="C785" s="29"/>
    </row>
    <row r="786" customFormat="false" ht="18.75" hidden="false" customHeight="true" outlineLevel="0" collapsed="false">
      <c r="B786" s="33"/>
      <c r="C786" s="29"/>
    </row>
    <row r="787" customFormat="false" ht="18.75" hidden="false" customHeight="true" outlineLevel="0" collapsed="false">
      <c r="B787" s="33"/>
      <c r="C787" s="29"/>
    </row>
    <row r="788" customFormat="false" ht="18.75" hidden="false" customHeight="true" outlineLevel="0" collapsed="false">
      <c r="B788" s="33"/>
      <c r="C788" s="29"/>
    </row>
    <row r="789" customFormat="false" ht="18.75" hidden="false" customHeight="true" outlineLevel="0" collapsed="false">
      <c r="B789" s="33"/>
      <c r="C789" s="29"/>
    </row>
    <row r="790" customFormat="false" ht="18.75" hidden="false" customHeight="true" outlineLevel="0" collapsed="false">
      <c r="B790" s="33"/>
      <c r="C790" s="29"/>
    </row>
    <row r="791" customFormat="false" ht="18.75" hidden="false" customHeight="true" outlineLevel="0" collapsed="false">
      <c r="B791" s="33"/>
      <c r="C791" s="29"/>
    </row>
    <row r="792" customFormat="false" ht="18.75" hidden="false" customHeight="true" outlineLevel="0" collapsed="false">
      <c r="B792" s="33"/>
      <c r="C792" s="29"/>
    </row>
    <row r="793" customFormat="false" ht="18.75" hidden="false" customHeight="true" outlineLevel="0" collapsed="false">
      <c r="B793" s="33"/>
      <c r="C793" s="29"/>
    </row>
    <row r="794" customFormat="false" ht="18.75" hidden="false" customHeight="true" outlineLevel="0" collapsed="false">
      <c r="B794" s="33"/>
      <c r="C794" s="29"/>
    </row>
    <row r="795" customFormat="false" ht="18.75" hidden="false" customHeight="true" outlineLevel="0" collapsed="false">
      <c r="B795" s="33"/>
      <c r="C795" s="29"/>
    </row>
    <row r="796" customFormat="false" ht="18.75" hidden="false" customHeight="true" outlineLevel="0" collapsed="false">
      <c r="B796" s="33"/>
      <c r="C796" s="29"/>
    </row>
    <row r="797" customFormat="false" ht="18.75" hidden="false" customHeight="true" outlineLevel="0" collapsed="false">
      <c r="B797" s="33"/>
      <c r="C797" s="29"/>
    </row>
    <row r="798" customFormat="false" ht="18.75" hidden="false" customHeight="true" outlineLevel="0" collapsed="false">
      <c r="B798" s="33"/>
      <c r="C798" s="29"/>
    </row>
    <row r="799" customFormat="false" ht="18.75" hidden="false" customHeight="true" outlineLevel="0" collapsed="false">
      <c r="B799" s="33"/>
      <c r="C799" s="29"/>
    </row>
    <row r="800" customFormat="false" ht="18.75" hidden="false" customHeight="true" outlineLevel="0" collapsed="false">
      <c r="B800" s="33"/>
      <c r="C800" s="29"/>
    </row>
    <row r="801" customFormat="false" ht="18.75" hidden="false" customHeight="true" outlineLevel="0" collapsed="false">
      <c r="B801" s="33"/>
      <c r="C801" s="29"/>
    </row>
    <row r="802" customFormat="false" ht="18.75" hidden="false" customHeight="true" outlineLevel="0" collapsed="false">
      <c r="B802" s="33"/>
      <c r="C802" s="29"/>
    </row>
    <row r="803" customFormat="false" ht="18.75" hidden="false" customHeight="true" outlineLevel="0" collapsed="false">
      <c r="B803" s="33"/>
      <c r="C803" s="29"/>
    </row>
    <row r="804" customFormat="false" ht="18.75" hidden="false" customHeight="true" outlineLevel="0" collapsed="false">
      <c r="B804" s="33"/>
      <c r="C804" s="29"/>
    </row>
    <row r="805" customFormat="false" ht="18.75" hidden="false" customHeight="true" outlineLevel="0" collapsed="false">
      <c r="B805" s="33"/>
      <c r="C805" s="29"/>
    </row>
    <row r="806" customFormat="false" ht="18.75" hidden="false" customHeight="true" outlineLevel="0" collapsed="false">
      <c r="B806" s="33"/>
      <c r="C806" s="29"/>
    </row>
    <row r="807" customFormat="false" ht="18.75" hidden="false" customHeight="true" outlineLevel="0" collapsed="false">
      <c r="B807" s="33"/>
      <c r="C807" s="29"/>
    </row>
    <row r="808" customFormat="false" ht="18.75" hidden="false" customHeight="true" outlineLevel="0" collapsed="false">
      <c r="B808" s="33"/>
      <c r="C808" s="29"/>
    </row>
    <row r="809" customFormat="false" ht="18.75" hidden="false" customHeight="true" outlineLevel="0" collapsed="false">
      <c r="B809" s="33"/>
      <c r="C809" s="29"/>
    </row>
    <row r="810" customFormat="false" ht="18.75" hidden="false" customHeight="true" outlineLevel="0" collapsed="false">
      <c r="B810" s="33"/>
      <c r="C810" s="29"/>
    </row>
    <row r="811" customFormat="false" ht="18.75" hidden="false" customHeight="true" outlineLevel="0" collapsed="false">
      <c r="B811" s="33"/>
      <c r="C811" s="29"/>
    </row>
    <row r="812" customFormat="false" ht="18.75" hidden="false" customHeight="true" outlineLevel="0" collapsed="false">
      <c r="B812" s="33"/>
      <c r="C812" s="29"/>
    </row>
    <row r="813" customFormat="false" ht="18.75" hidden="false" customHeight="true" outlineLevel="0" collapsed="false">
      <c r="B813" s="33"/>
      <c r="C813" s="29"/>
    </row>
    <row r="814" customFormat="false" ht="18.75" hidden="false" customHeight="true" outlineLevel="0" collapsed="false">
      <c r="B814" s="33"/>
      <c r="C814" s="29"/>
    </row>
    <row r="815" customFormat="false" ht="18.75" hidden="false" customHeight="true" outlineLevel="0" collapsed="false">
      <c r="B815" s="33"/>
      <c r="C815" s="29"/>
    </row>
    <row r="816" customFormat="false" ht="18.75" hidden="false" customHeight="true" outlineLevel="0" collapsed="false">
      <c r="B816" s="33"/>
      <c r="C816" s="29"/>
    </row>
    <row r="817" customFormat="false" ht="18.75" hidden="false" customHeight="true" outlineLevel="0" collapsed="false">
      <c r="B817" s="33"/>
      <c r="C817" s="29"/>
    </row>
    <row r="818" customFormat="false" ht="18.75" hidden="false" customHeight="true" outlineLevel="0" collapsed="false">
      <c r="B818" s="33"/>
      <c r="C818" s="29"/>
    </row>
    <row r="819" customFormat="false" ht="18.75" hidden="false" customHeight="true" outlineLevel="0" collapsed="false">
      <c r="B819" s="33"/>
      <c r="C819" s="29"/>
    </row>
    <row r="820" customFormat="false" ht="18.75" hidden="false" customHeight="true" outlineLevel="0" collapsed="false">
      <c r="B820" s="33"/>
      <c r="C820" s="29"/>
    </row>
    <row r="821" customFormat="false" ht="18.75" hidden="false" customHeight="true" outlineLevel="0" collapsed="false">
      <c r="B821" s="33"/>
      <c r="C821" s="29"/>
    </row>
    <row r="822" customFormat="false" ht="18.75" hidden="false" customHeight="true" outlineLevel="0" collapsed="false">
      <c r="B822" s="33"/>
      <c r="C822" s="29"/>
    </row>
    <row r="823" customFormat="false" ht="18.75" hidden="false" customHeight="true" outlineLevel="0" collapsed="false">
      <c r="B823" s="33"/>
      <c r="C823" s="29"/>
    </row>
    <row r="824" customFormat="false" ht="18.75" hidden="false" customHeight="true" outlineLevel="0" collapsed="false">
      <c r="B824" s="33"/>
      <c r="C824" s="29"/>
    </row>
    <row r="825" customFormat="false" ht="18.75" hidden="false" customHeight="true" outlineLevel="0" collapsed="false">
      <c r="B825" s="33"/>
      <c r="C825" s="29"/>
    </row>
    <row r="826" customFormat="false" ht="18.75" hidden="false" customHeight="true" outlineLevel="0" collapsed="false">
      <c r="B826" s="33"/>
      <c r="C826" s="29"/>
    </row>
    <row r="827" customFormat="false" ht="18.75" hidden="false" customHeight="true" outlineLevel="0" collapsed="false">
      <c r="B827" s="33"/>
      <c r="C827" s="29"/>
    </row>
    <row r="828" customFormat="false" ht="18.75" hidden="false" customHeight="true" outlineLevel="0" collapsed="false">
      <c r="B828" s="33"/>
      <c r="C828" s="29"/>
    </row>
    <row r="829" customFormat="false" ht="18.75" hidden="false" customHeight="true" outlineLevel="0" collapsed="false">
      <c r="B829" s="33"/>
      <c r="C829" s="29"/>
    </row>
    <row r="830" customFormat="false" ht="18.75" hidden="false" customHeight="true" outlineLevel="0" collapsed="false">
      <c r="B830" s="33"/>
      <c r="C830" s="29"/>
    </row>
    <row r="831" customFormat="false" ht="18.75" hidden="false" customHeight="true" outlineLevel="0" collapsed="false">
      <c r="B831" s="33"/>
      <c r="C831" s="29"/>
    </row>
    <row r="832" customFormat="false" ht="18.75" hidden="false" customHeight="true" outlineLevel="0" collapsed="false">
      <c r="B832" s="33"/>
      <c r="C832" s="29"/>
    </row>
    <row r="833" customFormat="false" ht="18.75" hidden="false" customHeight="true" outlineLevel="0" collapsed="false">
      <c r="B833" s="33"/>
      <c r="C833" s="29"/>
    </row>
    <row r="834" customFormat="false" ht="18.75" hidden="false" customHeight="true" outlineLevel="0" collapsed="false">
      <c r="B834" s="33"/>
      <c r="C834" s="29"/>
    </row>
    <row r="835" customFormat="false" ht="18.75" hidden="false" customHeight="true" outlineLevel="0" collapsed="false">
      <c r="B835" s="33"/>
      <c r="C835" s="29"/>
    </row>
    <row r="836" customFormat="false" ht="18.75" hidden="false" customHeight="true" outlineLevel="0" collapsed="false">
      <c r="B836" s="33"/>
      <c r="C836" s="29"/>
    </row>
    <row r="837" customFormat="false" ht="18.75" hidden="false" customHeight="true" outlineLevel="0" collapsed="false">
      <c r="B837" s="33"/>
      <c r="C837" s="29"/>
    </row>
    <row r="838" customFormat="false" ht="18.75" hidden="false" customHeight="true" outlineLevel="0" collapsed="false">
      <c r="B838" s="33"/>
      <c r="C838" s="29"/>
    </row>
    <row r="839" customFormat="false" ht="18.75" hidden="false" customHeight="true" outlineLevel="0" collapsed="false">
      <c r="B839" s="33"/>
      <c r="C839" s="29"/>
    </row>
    <row r="840" customFormat="false" ht="18.75" hidden="false" customHeight="true" outlineLevel="0" collapsed="false">
      <c r="B840" s="33"/>
      <c r="C840" s="29"/>
    </row>
    <row r="841" customFormat="false" ht="18.75" hidden="false" customHeight="true" outlineLevel="0" collapsed="false">
      <c r="B841" s="33"/>
      <c r="C841" s="29"/>
    </row>
    <row r="842" customFormat="false" ht="18.75" hidden="false" customHeight="true" outlineLevel="0" collapsed="false">
      <c r="B842" s="33"/>
      <c r="C842" s="29"/>
    </row>
    <row r="843" customFormat="false" ht="18.75" hidden="false" customHeight="true" outlineLevel="0" collapsed="false">
      <c r="B843" s="33"/>
      <c r="C843" s="29"/>
    </row>
    <row r="844" customFormat="false" ht="18.75" hidden="false" customHeight="true" outlineLevel="0" collapsed="false">
      <c r="B844" s="33"/>
      <c r="C844" s="29"/>
    </row>
    <row r="845" customFormat="false" ht="18.75" hidden="false" customHeight="true" outlineLevel="0" collapsed="false">
      <c r="B845" s="33"/>
      <c r="C845" s="29"/>
    </row>
    <row r="846" customFormat="false" ht="18.75" hidden="false" customHeight="true" outlineLevel="0" collapsed="false">
      <c r="B846" s="33"/>
      <c r="C846" s="29"/>
    </row>
    <row r="847" customFormat="false" ht="18.75" hidden="false" customHeight="true" outlineLevel="0" collapsed="false">
      <c r="B847" s="33"/>
      <c r="C847" s="29"/>
    </row>
    <row r="848" customFormat="false" ht="18.75" hidden="false" customHeight="true" outlineLevel="0" collapsed="false">
      <c r="B848" s="33"/>
      <c r="C848" s="29"/>
    </row>
    <row r="849" customFormat="false" ht="18.75" hidden="false" customHeight="true" outlineLevel="0" collapsed="false">
      <c r="B849" s="33"/>
      <c r="C849" s="29"/>
    </row>
    <row r="850" customFormat="false" ht="18.75" hidden="false" customHeight="true" outlineLevel="0" collapsed="false">
      <c r="B850" s="33"/>
      <c r="C850" s="29"/>
    </row>
    <row r="851" customFormat="false" ht="18.75" hidden="false" customHeight="true" outlineLevel="0" collapsed="false">
      <c r="B851" s="33"/>
      <c r="C851" s="29"/>
    </row>
    <row r="852" customFormat="false" ht="18.75" hidden="false" customHeight="true" outlineLevel="0" collapsed="false">
      <c r="B852" s="33"/>
      <c r="C852" s="29"/>
    </row>
    <row r="853" customFormat="false" ht="18.75" hidden="false" customHeight="true" outlineLevel="0" collapsed="false">
      <c r="B853" s="33"/>
      <c r="C853" s="29"/>
    </row>
    <row r="854" customFormat="false" ht="18.75" hidden="false" customHeight="true" outlineLevel="0" collapsed="false">
      <c r="B854" s="33"/>
      <c r="C854" s="29"/>
    </row>
    <row r="855" customFormat="false" ht="18.75" hidden="false" customHeight="true" outlineLevel="0" collapsed="false">
      <c r="B855" s="33"/>
      <c r="C855" s="29"/>
    </row>
    <row r="856" customFormat="false" ht="18.75" hidden="false" customHeight="true" outlineLevel="0" collapsed="false">
      <c r="B856" s="33"/>
      <c r="C856" s="29"/>
    </row>
    <row r="857" customFormat="false" ht="18.75" hidden="false" customHeight="true" outlineLevel="0" collapsed="false">
      <c r="B857" s="33"/>
      <c r="C857" s="29"/>
    </row>
    <row r="858" customFormat="false" ht="18.75" hidden="false" customHeight="true" outlineLevel="0" collapsed="false">
      <c r="B858" s="33"/>
      <c r="C858" s="29"/>
    </row>
    <row r="859" customFormat="false" ht="18.75" hidden="false" customHeight="true" outlineLevel="0" collapsed="false">
      <c r="B859" s="33"/>
      <c r="C859" s="29"/>
    </row>
    <row r="860" customFormat="false" ht="18.75" hidden="false" customHeight="true" outlineLevel="0" collapsed="false">
      <c r="B860" s="33"/>
      <c r="C860" s="29"/>
    </row>
    <row r="861" customFormat="false" ht="18.75" hidden="false" customHeight="true" outlineLevel="0" collapsed="false">
      <c r="B861" s="33"/>
      <c r="C861" s="29"/>
    </row>
    <row r="862" customFormat="false" ht="18.75" hidden="false" customHeight="true" outlineLevel="0" collapsed="false">
      <c r="B862" s="33"/>
      <c r="C862" s="29"/>
    </row>
    <row r="863" customFormat="false" ht="18.75" hidden="false" customHeight="true" outlineLevel="0" collapsed="false">
      <c r="B863" s="33"/>
      <c r="C863" s="29"/>
    </row>
    <row r="864" customFormat="false" ht="18.75" hidden="false" customHeight="true" outlineLevel="0" collapsed="false">
      <c r="B864" s="33"/>
      <c r="C864" s="29"/>
    </row>
    <row r="865" customFormat="false" ht="18.75" hidden="false" customHeight="true" outlineLevel="0" collapsed="false">
      <c r="B865" s="33"/>
      <c r="C865" s="29"/>
    </row>
    <row r="866" customFormat="false" ht="18.75" hidden="false" customHeight="true" outlineLevel="0" collapsed="false">
      <c r="B866" s="33"/>
      <c r="C866" s="29"/>
    </row>
    <row r="867" customFormat="false" ht="18.75" hidden="false" customHeight="true" outlineLevel="0" collapsed="false">
      <c r="B867" s="33"/>
      <c r="C867" s="29"/>
    </row>
    <row r="868" customFormat="false" ht="18.75" hidden="false" customHeight="true" outlineLevel="0" collapsed="false">
      <c r="B868" s="33"/>
      <c r="C868" s="29"/>
    </row>
    <row r="869" customFormat="false" ht="18.75" hidden="false" customHeight="true" outlineLevel="0" collapsed="false">
      <c r="B869" s="33"/>
      <c r="C869" s="29"/>
    </row>
    <row r="870" customFormat="false" ht="18.75" hidden="false" customHeight="true" outlineLevel="0" collapsed="false">
      <c r="B870" s="33"/>
      <c r="C870" s="29"/>
    </row>
    <row r="871" customFormat="false" ht="18.75" hidden="false" customHeight="true" outlineLevel="0" collapsed="false">
      <c r="B871" s="33"/>
      <c r="C871" s="29"/>
    </row>
    <row r="872" customFormat="false" ht="18.75" hidden="false" customHeight="true" outlineLevel="0" collapsed="false">
      <c r="B872" s="33"/>
      <c r="C872" s="29"/>
    </row>
    <row r="873" customFormat="false" ht="18.75" hidden="false" customHeight="true" outlineLevel="0" collapsed="false">
      <c r="B873" s="33"/>
      <c r="C873" s="29"/>
    </row>
    <row r="874" customFormat="false" ht="18.75" hidden="false" customHeight="true" outlineLevel="0" collapsed="false">
      <c r="B874" s="33"/>
      <c r="C874" s="29"/>
    </row>
    <row r="875" customFormat="false" ht="18.75" hidden="false" customHeight="true" outlineLevel="0" collapsed="false">
      <c r="B875" s="33"/>
      <c r="C875" s="29"/>
    </row>
    <row r="876" customFormat="false" ht="18.75" hidden="false" customHeight="true" outlineLevel="0" collapsed="false">
      <c r="B876" s="33"/>
      <c r="C876" s="29"/>
    </row>
    <row r="877" customFormat="false" ht="18.75" hidden="false" customHeight="true" outlineLevel="0" collapsed="false">
      <c r="B877" s="33"/>
      <c r="C877" s="29"/>
    </row>
    <row r="878" customFormat="false" ht="18.75" hidden="false" customHeight="true" outlineLevel="0" collapsed="false">
      <c r="B878" s="33"/>
      <c r="C878" s="29"/>
    </row>
    <row r="879" customFormat="false" ht="18.75" hidden="false" customHeight="true" outlineLevel="0" collapsed="false">
      <c r="B879" s="33"/>
      <c r="C879" s="29"/>
    </row>
    <row r="880" customFormat="false" ht="18.75" hidden="false" customHeight="true" outlineLevel="0" collapsed="false">
      <c r="B880" s="33"/>
      <c r="C880" s="29"/>
    </row>
    <row r="881" customFormat="false" ht="18.75" hidden="false" customHeight="true" outlineLevel="0" collapsed="false">
      <c r="B881" s="33"/>
      <c r="C881" s="29"/>
    </row>
    <row r="882" customFormat="false" ht="18.75" hidden="false" customHeight="true" outlineLevel="0" collapsed="false">
      <c r="B882" s="33"/>
      <c r="C882" s="29"/>
    </row>
    <row r="883" customFormat="false" ht="18.75" hidden="false" customHeight="true" outlineLevel="0" collapsed="false">
      <c r="B883" s="33"/>
      <c r="C883" s="29"/>
    </row>
    <row r="884" customFormat="false" ht="18.75" hidden="false" customHeight="true" outlineLevel="0" collapsed="false">
      <c r="B884" s="33"/>
      <c r="C884" s="29"/>
    </row>
    <row r="885" customFormat="false" ht="18.75" hidden="false" customHeight="true" outlineLevel="0" collapsed="false">
      <c r="B885" s="33"/>
      <c r="C885" s="29"/>
    </row>
    <row r="886" customFormat="false" ht="18.75" hidden="false" customHeight="true" outlineLevel="0" collapsed="false">
      <c r="B886" s="33"/>
      <c r="C886" s="29"/>
    </row>
    <row r="887" customFormat="false" ht="18.75" hidden="false" customHeight="true" outlineLevel="0" collapsed="false">
      <c r="B887" s="33"/>
      <c r="C887" s="29"/>
    </row>
    <row r="888" customFormat="false" ht="18.75" hidden="false" customHeight="true" outlineLevel="0" collapsed="false">
      <c r="B888" s="33"/>
      <c r="C888" s="29"/>
    </row>
    <row r="889" customFormat="false" ht="18.75" hidden="false" customHeight="true" outlineLevel="0" collapsed="false">
      <c r="B889" s="33"/>
      <c r="C889" s="29"/>
    </row>
    <row r="890" customFormat="false" ht="18.75" hidden="false" customHeight="true" outlineLevel="0" collapsed="false">
      <c r="B890" s="33"/>
      <c r="C890" s="29"/>
    </row>
    <row r="891" customFormat="false" ht="18.75" hidden="false" customHeight="true" outlineLevel="0" collapsed="false">
      <c r="B891" s="33"/>
      <c r="C891" s="29"/>
    </row>
    <row r="892" customFormat="false" ht="18.75" hidden="false" customHeight="true" outlineLevel="0" collapsed="false">
      <c r="B892" s="33"/>
      <c r="C892" s="29"/>
    </row>
    <row r="893" customFormat="false" ht="18.75" hidden="false" customHeight="true" outlineLevel="0" collapsed="false">
      <c r="B893" s="33"/>
      <c r="C893" s="29"/>
    </row>
    <row r="894" customFormat="false" ht="18.75" hidden="false" customHeight="true" outlineLevel="0" collapsed="false">
      <c r="B894" s="33"/>
      <c r="C894" s="29"/>
    </row>
    <row r="895" customFormat="false" ht="18.75" hidden="false" customHeight="true" outlineLevel="0" collapsed="false">
      <c r="B895" s="33"/>
      <c r="C895" s="29"/>
    </row>
    <row r="896" customFormat="false" ht="18.75" hidden="false" customHeight="true" outlineLevel="0" collapsed="false">
      <c r="B896" s="33"/>
      <c r="C896" s="29"/>
    </row>
    <row r="897" customFormat="false" ht="18.75" hidden="false" customHeight="true" outlineLevel="0" collapsed="false">
      <c r="B897" s="33"/>
      <c r="C897" s="29"/>
    </row>
    <row r="898" customFormat="false" ht="18.75" hidden="false" customHeight="true" outlineLevel="0" collapsed="false">
      <c r="B898" s="33"/>
      <c r="C898" s="29"/>
    </row>
    <row r="899" customFormat="false" ht="18.75" hidden="false" customHeight="true" outlineLevel="0" collapsed="false">
      <c r="B899" s="33"/>
      <c r="C899" s="29"/>
    </row>
    <row r="900" customFormat="false" ht="18.75" hidden="false" customHeight="true" outlineLevel="0" collapsed="false">
      <c r="B900" s="33"/>
      <c r="C900" s="29"/>
    </row>
    <row r="901" customFormat="false" ht="18.75" hidden="false" customHeight="true" outlineLevel="0" collapsed="false">
      <c r="B901" s="33"/>
      <c r="C901" s="29"/>
    </row>
    <row r="902" customFormat="false" ht="18.75" hidden="false" customHeight="true" outlineLevel="0" collapsed="false">
      <c r="B902" s="33"/>
      <c r="C902" s="29"/>
    </row>
    <row r="903" customFormat="false" ht="18.75" hidden="false" customHeight="true" outlineLevel="0" collapsed="false">
      <c r="B903" s="33"/>
      <c r="C903" s="29"/>
    </row>
    <row r="904" customFormat="false" ht="18.75" hidden="false" customHeight="true" outlineLevel="0" collapsed="false">
      <c r="B904" s="33"/>
      <c r="C904" s="29"/>
    </row>
    <row r="905" customFormat="false" ht="18.75" hidden="false" customHeight="true" outlineLevel="0" collapsed="false">
      <c r="B905" s="33"/>
      <c r="C905" s="29"/>
    </row>
    <row r="906" customFormat="false" ht="18.75" hidden="false" customHeight="true" outlineLevel="0" collapsed="false">
      <c r="B906" s="33"/>
      <c r="C906" s="29"/>
    </row>
    <row r="907" customFormat="false" ht="18.75" hidden="false" customHeight="true" outlineLevel="0" collapsed="false">
      <c r="B907" s="33"/>
      <c r="C907" s="29"/>
    </row>
    <row r="908" customFormat="false" ht="18.75" hidden="false" customHeight="true" outlineLevel="0" collapsed="false">
      <c r="B908" s="33"/>
      <c r="C908" s="29"/>
    </row>
    <row r="909" customFormat="false" ht="18.75" hidden="false" customHeight="true" outlineLevel="0" collapsed="false">
      <c r="B909" s="33"/>
      <c r="C909" s="29"/>
    </row>
    <row r="910" customFormat="false" ht="18.75" hidden="false" customHeight="true" outlineLevel="0" collapsed="false">
      <c r="B910" s="33"/>
      <c r="C910" s="29"/>
    </row>
    <row r="911" customFormat="false" ht="18.75" hidden="false" customHeight="true" outlineLevel="0" collapsed="false">
      <c r="B911" s="33"/>
      <c r="C911" s="29"/>
    </row>
    <row r="912" customFormat="false" ht="18.75" hidden="false" customHeight="true" outlineLevel="0" collapsed="false">
      <c r="B912" s="33"/>
      <c r="C912" s="29"/>
    </row>
    <row r="913" customFormat="false" ht="18.75" hidden="false" customHeight="true" outlineLevel="0" collapsed="false">
      <c r="B913" s="33"/>
      <c r="C913" s="29"/>
    </row>
    <row r="914" customFormat="false" ht="18.75" hidden="false" customHeight="true" outlineLevel="0" collapsed="false">
      <c r="B914" s="33"/>
      <c r="C914" s="29"/>
    </row>
    <row r="915" customFormat="false" ht="18.75" hidden="false" customHeight="true" outlineLevel="0" collapsed="false">
      <c r="B915" s="33"/>
      <c r="C915" s="29"/>
    </row>
    <row r="916" customFormat="false" ht="18.75" hidden="false" customHeight="true" outlineLevel="0" collapsed="false">
      <c r="B916" s="33"/>
      <c r="C916" s="29"/>
    </row>
    <row r="917" customFormat="false" ht="18.75" hidden="false" customHeight="true" outlineLevel="0" collapsed="false">
      <c r="B917" s="33"/>
      <c r="C917" s="29"/>
    </row>
    <row r="918" customFormat="false" ht="18.75" hidden="false" customHeight="true" outlineLevel="0" collapsed="false">
      <c r="B918" s="33"/>
      <c r="C918" s="29"/>
    </row>
    <row r="919" customFormat="false" ht="18.75" hidden="false" customHeight="true" outlineLevel="0" collapsed="false">
      <c r="B919" s="33"/>
      <c r="C919" s="29"/>
    </row>
    <row r="920" customFormat="false" ht="18.75" hidden="false" customHeight="true" outlineLevel="0" collapsed="false">
      <c r="B920" s="33"/>
      <c r="C920" s="29"/>
    </row>
    <row r="921" customFormat="false" ht="18.75" hidden="false" customHeight="true" outlineLevel="0" collapsed="false">
      <c r="B921" s="33"/>
      <c r="C921" s="29"/>
    </row>
    <row r="922" customFormat="false" ht="18.75" hidden="false" customHeight="true" outlineLevel="0" collapsed="false">
      <c r="B922" s="33"/>
      <c r="C922" s="29"/>
    </row>
    <row r="923" customFormat="false" ht="18.75" hidden="false" customHeight="true" outlineLevel="0" collapsed="false">
      <c r="B923" s="33"/>
      <c r="C923" s="29"/>
    </row>
    <row r="924" customFormat="false" ht="18.75" hidden="false" customHeight="true" outlineLevel="0" collapsed="false">
      <c r="B924" s="33"/>
      <c r="C924" s="29"/>
    </row>
    <row r="925" customFormat="false" ht="18.75" hidden="false" customHeight="true" outlineLevel="0" collapsed="false">
      <c r="B925" s="33"/>
      <c r="C925" s="29"/>
    </row>
    <row r="926" customFormat="false" ht="18.75" hidden="false" customHeight="true" outlineLevel="0" collapsed="false">
      <c r="B926" s="33"/>
      <c r="C926" s="29"/>
    </row>
    <row r="927" customFormat="false" ht="18.75" hidden="false" customHeight="true" outlineLevel="0" collapsed="false">
      <c r="B927" s="33"/>
      <c r="C927" s="29"/>
    </row>
    <row r="928" customFormat="false" ht="18.75" hidden="false" customHeight="true" outlineLevel="0" collapsed="false">
      <c r="B928" s="33"/>
      <c r="C928" s="29"/>
    </row>
    <row r="929" customFormat="false" ht="18.75" hidden="false" customHeight="true" outlineLevel="0" collapsed="false">
      <c r="B929" s="33"/>
      <c r="C929" s="29"/>
    </row>
    <row r="930" customFormat="false" ht="18.75" hidden="false" customHeight="true" outlineLevel="0" collapsed="false">
      <c r="B930" s="33"/>
      <c r="C930" s="29"/>
    </row>
    <row r="931" customFormat="false" ht="18.75" hidden="false" customHeight="true" outlineLevel="0" collapsed="false">
      <c r="B931" s="33"/>
      <c r="C931" s="29"/>
    </row>
    <row r="932" customFormat="false" ht="18.75" hidden="false" customHeight="true" outlineLevel="0" collapsed="false">
      <c r="B932" s="33"/>
      <c r="C932" s="29"/>
    </row>
    <row r="933" customFormat="false" ht="18.75" hidden="false" customHeight="true" outlineLevel="0" collapsed="false">
      <c r="B933" s="33"/>
      <c r="C933" s="29"/>
    </row>
    <row r="934" customFormat="false" ht="18.75" hidden="false" customHeight="true" outlineLevel="0" collapsed="false">
      <c r="B934" s="33"/>
      <c r="C934" s="29"/>
    </row>
    <row r="935" customFormat="false" ht="18.75" hidden="false" customHeight="true" outlineLevel="0" collapsed="false">
      <c r="B935" s="33"/>
      <c r="C935" s="29"/>
    </row>
    <row r="936" customFormat="false" ht="18.75" hidden="false" customHeight="true" outlineLevel="0" collapsed="false">
      <c r="B936" s="33"/>
      <c r="C936" s="29"/>
    </row>
    <row r="937" customFormat="false" ht="18.75" hidden="false" customHeight="true" outlineLevel="0" collapsed="false">
      <c r="B937" s="33"/>
      <c r="C937" s="29"/>
    </row>
    <row r="938" customFormat="false" ht="18.75" hidden="false" customHeight="true" outlineLevel="0" collapsed="false">
      <c r="B938" s="33"/>
      <c r="C938" s="29"/>
    </row>
    <row r="939" customFormat="false" ht="18.75" hidden="false" customHeight="true" outlineLevel="0" collapsed="false">
      <c r="B939" s="33"/>
      <c r="C939" s="29"/>
    </row>
    <row r="940" customFormat="false" ht="18.75" hidden="false" customHeight="true" outlineLevel="0" collapsed="false">
      <c r="B940" s="33"/>
      <c r="C940" s="29"/>
    </row>
    <row r="941" customFormat="false" ht="18.75" hidden="false" customHeight="true" outlineLevel="0" collapsed="false">
      <c r="B941" s="33"/>
      <c r="C941" s="29"/>
    </row>
    <row r="942" customFormat="false" ht="18.75" hidden="false" customHeight="true" outlineLevel="0" collapsed="false">
      <c r="B942" s="33"/>
      <c r="C942" s="29"/>
    </row>
    <row r="943" customFormat="false" ht="18.75" hidden="false" customHeight="true" outlineLevel="0" collapsed="false">
      <c r="B943" s="33"/>
      <c r="C943" s="29"/>
    </row>
    <row r="944" customFormat="false" ht="18.75" hidden="false" customHeight="true" outlineLevel="0" collapsed="false">
      <c r="B944" s="33"/>
      <c r="C944" s="29"/>
    </row>
    <row r="945" customFormat="false" ht="18.75" hidden="false" customHeight="true" outlineLevel="0" collapsed="false">
      <c r="B945" s="33"/>
      <c r="C945" s="29"/>
    </row>
    <row r="946" customFormat="false" ht="18.75" hidden="false" customHeight="true" outlineLevel="0" collapsed="false">
      <c r="B946" s="33"/>
      <c r="C946" s="29"/>
    </row>
    <row r="947" customFormat="false" ht="18.75" hidden="false" customHeight="true" outlineLevel="0" collapsed="false">
      <c r="B947" s="33"/>
      <c r="C947" s="29"/>
    </row>
    <row r="948" customFormat="false" ht="18.75" hidden="false" customHeight="true" outlineLevel="0" collapsed="false">
      <c r="B948" s="33"/>
      <c r="C948" s="29"/>
    </row>
    <row r="949" customFormat="false" ht="18.75" hidden="false" customHeight="true" outlineLevel="0" collapsed="false">
      <c r="B949" s="33"/>
      <c r="C949" s="29"/>
    </row>
    <row r="950" customFormat="false" ht="18.75" hidden="false" customHeight="true" outlineLevel="0" collapsed="false">
      <c r="B950" s="33"/>
      <c r="C950" s="29"/>
    </row>
    <row r="951" customFormat="false" ht="18.75" hidden="false" customHeight="true" outlineLevel="0" collapsed="false">
      <c r="B951" s="33"/>
      <c r="C951" s="29"/>
    </row>
    <row r="952" customFormat="false" ht="18.75" hidden="false" customHeight="true" outlineLevel="0" collapsed="false">
      <c r="B952" s="33"/>
      <c r="C952" s="29"/>
    </row>
    <row r="953" customFormat="false" ht="18.75" hidden="false" customHeight="true" outlineLevel="0" collapsed="false">
      <c r="B953" s="33"/>
      <c r="C953" s="29"/>
    </row>
    <row r="954" customFormat="false" ht="18.75" hidden="false" customHeight="true" outlineLevel="0" collapsed="false">
      <c r="B954" s="33"/>
      <c r="C954" s="29"/>
    </row>
    <row r="955" customFormat="false" ht="18.75" hidden="false" customHeight="true" outlineLevel="0" collapsed="false">
      <c r="B955" s="33"/>
      <c r="C955" s="29"/>
    </row>
    <row r="956" customFormat="false" ht="18.75" hidden="false" customHeight="true" outlineLevel="0" collapsed="false">
      <c r="B956" s="33"/>
      <c r="C956" s="29"/>
    </row>
    <row r="957" customFormat="false" ht="18.75" hidden="false" customHeight="true" outlineLevel="0" collapsed="false">
      <c r="B957" s="33"/>
      <c r="C957" s="29"/>
    </row>
    <row r="958" customFormat="false" ht="18.75" hidden="false" customHeight="true" outlineLevel="0" collapsed="false">
      <c r="B958" s="33"/>
      <c r="C958" s="29"/>
    </row>
    <row r="959" customFormat="false" ht="18.75" hidden="false" customHeight="true" outlineLevel="0" collapsed="false">
      <c r="B959" s="33"/>
      <c r="C959" s="29"/>
    </row>
    <row r="960" customFormat="false" ht="18.75" hidden="false" customHeight="true" outlineLevel="0" collapsed="false">
      <c r="B960" s="33"/>
      <c r="C960" s="29"/>
    </row>
    <row r="961" customFormat="false" ht="18.75" hidden="false" customHeight="true" outlineLevel="0" collapsed="false">
      <c r="B961" s="33"/>
      <c r="C961" s="29"/>
    </row>
    <row r="962" customFormat="false" ht="18.75" hidden="false" customHeight="true" outlineLevel="0" collapsed="false">
      <c r="B962" s="33"/>
      <c r="C962" s="29"/>
    </row>
    <row r="963" customFormat="false" ht="18.75" hidden="false" customHeight="true" outlineLevel="0" collapsed="false">
      <c r="B963" s="33"/>
      <c r="C963" s="29"/>
    </row>
    <row r="964" customFormat="false" ht="18.75" hidden="false" customHeight="true" outlineLevel="0" collapsed="false">
      <c r="B964" s="33"/>
      <c r="C964" s="29"/>
    </row>
    <row r="965" customFormat="false" ht="18.75" hidden="false" customHeight="true" outlineLevel="0" collapsed="false">
      <c r="B965" s="33"/>
      <c r="C965" s="29"/>
    </row>
    <row r="966" customFormat="false" ht="18.75" hidden="false" customHeight="true" outlineLevel="0" collapsed="false">
      <c r="B966" s="33"/>
      <c r="C966" s="29"/>
    </row>
    <row r="967" customFormat="false" ht="18.75" hidden="false" customHeight="true" outlineLevel="0" collapsed="false">
      <c r="B967" s="33"/>
      <c r="C967" s="29"/>
    </row>
    <row r="968" customFormat="false" ht="18.75" hidden="false" customHeight="true" outlineLevel="0" collapsed="false">
      <c r="B968" s="33"/>
      <c r="C968" s="29"/>
    </row>
    <row r="969" customFormat="false" ht="18.75" hidden="false" customHeight="true" outlineLevel="0" collapsed="false">
      <c r="B969" s="33"/>
      <c r="C969" s="29"/>
    </row>
    <row r="970" customFormat="false" ht="18.75" hidden="false" customHeight="true" outlineLevel="0" collapsed="false">
      <c r="B970" s="33"/>
      <c r="C970" s="29"/>
    </row>
    <row r="971" customFormat="false" ht="18.75" hidden="false" customHeight="true" outlineLevel="0" collapsed="false">
      <c r="B971" s="33"/>
      <c r="C971" s="29"/>
    </row>
    <row r="972" customFormat="false" ht="18.75" hidden="false" customHeight="true" outlineLevel="0" collapsed="false">
      <c r="B972" s="33"/>
      <c r="C972" s="29"/>
    </row>
    <row r="973" customFormat="false" ht="18.75" hidden="false" customHeight="true" outlineLevel="0" collapsed="false">
      <c r="B973" s="33"/>
      <c r="C973" s="29"/>
    </row>
    <row r="974" customFormat="false" ht="18.75" hidden="false" customHeight="true" outlineLevel="0" collapsed="false">
      <c r="B974" s="33"/>
      <c r="C974" s="29"/>
    </row>
    <row r="975" customFormat="false" ht="18.75" hidden="false" customHeight="true" outlineLevel="0" collapsed="false">
      <c r="B975" s="33"/>
      <c r="C975" s="29"/>
    </row>
    <row r="976" customFormat="false" ht="18.75" hidden="false" customHeight="true" outlineLevel="0" collapsed="false">
      <c r="B976" s="33"/>
      <c r="C976" s="29"/>
    </row>
    <row r="977" customFormat="false" ht="18.75" hidden="false" customHeight="true" outlineLevel="0" collapsed="false">
      <c r="B977" s="33"/>
      <c r="C977" s="29"/>
    </row>
    <row r="978" customFormat="false" ht="18.75" hidden="false" customHeight="true" outlineLevel="0" collapsed="false">
      <c r="B978" s="33"/>
      <c r="C978" s="29"/>
    </row>
    <row r="979" customFormat="false" ht="18.75" hidden="false" customHeight="true" outlineLevel="0" collapsed="false">
      <c r="B979" s="33"/>
      <c r="C979" s="29"/>
    </row>
    <row r="980" customFormat="false" ht="18.75" hidden="false" customHeight="true" outlineLevel="0" collapsed="false">
      <c r="B980" s="33"/>
      <c r="C980" s="29"/>
    </row>
    <row r="981" customFormat="false" ht="18.75" hidden="false" customHeight="true" outlineLevel="0" collapsed="false">
      <c r="B981" s="33"/>
      <c r="C981" s="29"/>
    </row>
    <row r="982" customFormat="false" ht="18.75" hidden="false" customHeight="true" outlineLevel="0" collapsed="false">
      <c r="B982" s="33"/>
      <c r="C982" s="29"/>
    </row>
    <row r="983" customFormat="false" ht="18.75" hidden="false" customHeight="true" outlineLevel="0" collapsed="false">
      <c r="B983" s="33"/>
      <c r="C983" s="29"/>
    </row>
    <row r="984" customFormat="false" ht="18.75" hidden="false" customHeight="true" outlineLevel="0" collapsed="false">
      <c r="B984" s="33"/>
      <c r="C984" s="29"/>
    </row>
    <row r="985" customFormat="false" ht="18.75" hidden="false" customHeight="true" outlineLevel="0" collapsed="false">
      <c r="B985" s="33"/>
      <c r="C985" s="29"/>
    </row>
    <row r="986" customFormat="false" ht="18.75" hidden="false" customHeight="true" outlineLevel="0" collapsed="false">
      <c r="B986" s="33"/>
      <c r="C986" s="29"/>
    </row>
    <row r="987" customFormat="false" ht="18.75" hidden="false" customHeight="true" outlineLevel="0" collapsed="false">
      <c r="B987" s="33"/>
      <c r="C987" s="29"/>
    </row>
    <row r="988" customFormat="false" ht="18.75" hidden="false" customHeight="true" outlineLevel="0" collapsed="false">
      <c r="B988" s="33"/>
      <c r="C988" s="29"/>
    </row>
    <row r="989" customFormat="false" ht="18.75" hidden="false" customHeight="true" outlineLevel="0" collapsed="false">
      <c r="B989" s="33"/>
      <c r="C989" s="29"/>
    </row>
    <row r="990" customFormat="false" ht="18.75" hidden="false" customHeight="true" outlineLevel="0" collapsed="false">
      <c r="B990" s="33"/>
      <c r="C990" s="29"/>
    </row>
    <row r="991" customFormat="false" ht="18.75" hidden="false" customHeight="true" outlineLevel="0" collapsed="false">
      <c r="B991" s="33"/>
      <c r="C991" s="29"/>
    </row>
    <row r="992" customFormat="false" ht="18.75" hidden="false" customHeight="true" outlineLevel="0" collapsed="false">
      <c r="B992" s="33"/>
      <c r="C992" s="29"/>
    </row>
    <row r="993" customFormat="false" ht="18.75" hidden="false" customHeight="true" outlineLevel="0" collapsed="false">
      <c r="B993" s="33"/>
      <c r="C993" s="29"/>
    </row>
    <row r="994" customFormat="false" ht="18.75" hidden="false" customHeight="true" outlineLevel="0" collapsed="false">
      <c r="B994" s="33"/>
      <c r="C994" s="29"/>
    </row>
    <row r="995" customFormat="false" ht="18.75" hidden="false" customHeight="true" outlineLevel="0" collapsed="false">
      <c r="B995" s="33"/>
      <c r="C995" s="29"/>
    </row>
    <row r="996" customFormat="false" ht="18.75" hidden="false" customHeight="true" outlineLevel="0" collapsed="false">
      <c r="B996" s="33"/>
      <c r="C996" s="29"/>
    </row>
    <row r="997" customFormat="false" ht="18.75" hidden="false" customHeight="true" outlineLevel="0" collapsed="false">
      <c r="B997" s="33"/>
      <c r="C997" s="29"/>
    </row>
    <row r="998" customFormat="false" ht="18.75" hidden="false" customHeight="true" outlineLevel="0" collapsed="false">
      <c r="B998" s="33"/>
      <c r="C998" s="29"/>
    </row>
    <row r="999" customFormat="false" ht="18.75" hidden="false" customHeight="true" outlineLevel="0" collapsed="false">
      <c r="B999" s="33"/>
      <c r="C999" s="29"/>
    </row>
    <row r="1000" customFormat="false" ht="18.75" hidden="false" customHeight="true" outlineLevel="0" collapsed="false">
      <c r="B1000" s="33"/>
      <c r="C1000" s="29"/>
    </row>
  </sheetData>
  <mergeCells count="9">
    <mergeCell ref="A1:F1"/>
    <mergeCell ref="A2:B2"/>
    <mergeCell ref="D2:E2"/>
    <mergeCell ref="A3:B3"/>
    <mergeCell ref="D3:F3"/>
    <mergeCell ref="A5:A6"/>
    <mergeCell ref="A7:A27"/>
    <mergeCell ref="A28:A36"/>
    <mergeCell ref="A37:A41"/>
  </mergeCells>
  <dataValidations count="1">
    <dataValidation allowBlank="true" errorStyle="stop" operator="between" showDropDown="false" showErrorMessage="true" showInputMessage="false" sqref="D6 D8:D12 D14:D18 D20:D21 D23:D24 D26:D27 D29:D36 D38:D41" type="list">
      <formula1>"Sim,Parcialmente,Não,NA"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1.14"/>
    <col collapsed="false" customWidth="true" hidden="false" outlineLevel="0" max="2" min="2" style="0" width="5.29"/>
    <col collapsed="false" customWidth="true" hidden="false" outlineLevel="0" max="3" min="3" style="0" width="68"/>
    <col collapsed="false" customWidth="true" hidden="false" outlineLevel="0" max="4" min="4" style="0" width="12.71"/>
    <col collapsed="false" customWidth="true" hidden="false" outlineLevel="0" max="5" min="5" style="0" width="29.71"/>
    <col collapsed="false" customWidth="true" hidden="false" outlineLevel="0" max="6" min="6" style="0" width="32.71"/>
    <col collapsed="false" customWidth="true" hidden="true" outlineLevel="0" max="10" min="7" style="0" width="8.71"/>
    <col collapsed="false" customWidth="true" hidden="false" outlineLevel="0" max="26" min="11" style="0" width="8.71"/>
  </cols>
  <sheetData>
    <row r="1" customFormat="false" ht="19.5" hidden="false" customHeight="true" outlineLevel="0" collapsed="false">
      <c r="A1" s="9" t="s">
        <v>29</v>
      </c>
      <c r="B1" s="9"/>
      <c r="C1" s="9"/>
      <c r="D1" s="9"/>
      <c r="E1" s="9"/>
      <c r="F1" s="9"/>
    </row>
    <row r="2" customFormat="false" ht="18.75" hidden="false" customHeight="true" outlineLevel="0" collapsed="false">
      <c r="A2" s="10" t="s">
        <v>30</v>
      </c>
      <c r="B2" s="10"/>
      <c r="C2" s="34"/>
      <c r="D2" s="12" t="s">
        <v>31</v>
      </c>
      <c r="E2" s="12"/>
      <c r="F2" s="13" t="e">
        <f aca="false">COUNTIF(D5:D41,"Sim")/(COUNTA(D5:D42)-COUNTIF(D5:D42,"NA"))</f>
        <v>#DIV/0!</v>
      </c>
    </row>
    <row r="3" customFormat="false" ht="18.75" hidden="false" customHeight="true" outlineLevel="0" collapsed="false">
      <c r="A3" s="10" t="s">
        <v>32</v>
      </c>
      <c r="B3" s="10"/>
      <c r="C3" s="35"/>
      <c r="D3" s="36" t="s">
        <v>34</v>
      </c>
      <c r="E3" s="36"/>
      <c r="F3" s="36"/>
    </row>
    <row r="4" customFormat="false" ht="18.75" hidden="false" customHeight="true" outlineLevel="0" collapsed="false">
      <c r="A4" s="16" t="s">
        <v>35</v>
      </c>
      <c r="B4" s="16" t="s">
        <v>36</v>
      </c>
      <c r="C4" s="16" t="s">
        <v>37</v>
      </c>
      <c r="D4" s="37" t="s">
        <v>38</v>
      </c>
      <c r="E4" s="16" t="s">
        <v>39</v>
      </c>
      <c r="F4" s="16" t="s">
        <v>40</v>
      </c>
    </row>
    <row r="5" customFormat="false" ht="15" hidden="false" customHeight="true" outlineLevel="0" collapsed="false">
      <c r="A5" s="26" t="s">
        <v>45</v>
      </c>
      <c r="B5" s="20"/>
      <c r="C5" s="21" t="s">
        <v>13</v>
      </c>
      <c r="D5" s="22"/>
      <c r="E5" s="22"/>
      <c r="F5" s="22"/>
    </row>
    <row r="6" customFormat="false" ht="18.75" hidden="false" customHeight="true" outlineLevel="0" collapsed="false">
      <c r="A6" s="26"/>
      <c r="B6" s="23" t="n">
        <v>1</v>
      </c>
      <c r="C6" s="24" t="s">
        <v>75</v>
      </c>
      <c r="D6" s="38"/>
      <c r="E6" s="24"/>
      <c r="F6" s="24"/>
      <c r="G6" s="6" t="n">
        <f aca="false">COUNTIF(D6,"Sim")</f>
        <v>0</v>
      </c>
      <c r="H6" s="6" t="n">
        <f aca="false">COUNTIF(D6,"Parcialmente")</f>
        <v>0</v>
      </c>
      <c r="I6" s="6" t="n">
        <f aca="false">COUNTIF(D6,"Não")</f>
        <v>0</v>
      </c>
      <c r="J6" s="6" t="n">
        <f aca="false">COUNTIF(D6,"NA")</f>
        <v>0</v>
      </c>
    </row>
    <row r="7" customFormat="false" ht="18.75" hidden="false" customHeight="true" outlineLevel="0" collapsed="false">
      <c r="A7" s="26"/>
      <c r="B7" s="20"/>
      <c r="C7" s="21" t="s">
        <v>14</v>
      </c>
      <c r="D7" s="22"/>
      <c r="E7" s="22"/>
      <c r="F7" s="22"/>
    </row>
    <row r="8" customFormat="false" ht="18.75" hidden="false" customHeight="true" outlineLevel="0" collapsed="false">
      <c r="A8" s="26"/>
      <c r="B8" s="23" t="n">
        <v>2</v>
      </c>
      <c r="C8" s="24" t="s">
        <v>76</v>
      </c>
      <c r="D8" s="38"/>
      <c r="E8" s="24"/>
      <c r="F8" s="24"/>
      <c r="G8" s="6" t="n">
        <f aca="false">COUNTIF(D8,"Sim")</f>
        <v>0</v>
      </c>
      <c r="H8" s="6" t="n">
        <f aca="false">COUNTIF(D8,"Parcialmente")</f>
        <v>0</v>
      </c>
      <c r="I8" s="6" t="n">
        <f aca="false">COUNTIF(D8,"Não")</f>
        <v>0</v>
      </c>
      <c r="J8" s="6" t="n">
        <f aca="false">COUNTIF(D8,"NA")</f>
        <v>0</v>
      </c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customFormat="false" ht="18.75" hidden="false" customHeight="true" outlineLevel="0" collapsed="false">
      <c r="A9" s="26"/>
      <c r="B9" s="23" t="n">
        <v>3</v>
      </c>
      <c r="C9" s="24" t="s">
        <v>77</v>
      </c>
      <c r="D9" s="38"/>
      <c r="E9" s="24"/>
      <c r="F9" s="24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</row>
    <row r="10" customFormat="false" ht="18.75" hidden="false" customHeight="true" outlineLevel="0" collapsed="false">
      <c r="A10" s="26"/>
      <c r="B10" s="20"/>
      <c r="C10" s="21" t="s">
        <v>56</v>
      </c>
      <c r="D10" s="22"/>
      <c r="E10" s="22"/>
      <c r="F10" s="22"/>
    </row>
    <row r="11" customFormat="false" ht="18.75" hidden="false" customHeight="true" outlineLevel="0" collapsed="false">
      <c r="A11" s="26"/>
      <c r="B11" s="30" t="n">
        <v>4</v>
      </c>
      <c r="C11" s="28" t="s">
        <v>78</v>
      </c>
      <c r="D11" s="38"/>
      <c r="E11" s="24"/>
      <c r="F11" s="24"/>
      <c r="G11" s="6" t="n">
        <f aca="false">COUNTIF(D11:D14,"Sim")</f>
        <v>0</v>
      </c>
      <c r="H11" s="6" t="n">
        <f aca="false">COUNTIF(D11:D14,"Parcialmente")</f>
        <v>0</v>
      </c>
      <c r="I11" s="6" t="n">
        <f aca="false">COUNTIF(D11:D14,"Não")</f>
        <v>0</v>
      </c>
      <c r="J11" s="6" t="n">
        <f aca="false">COUNTIF(D11:D14,"NA")</f>
        <v>0</v>
      </c>
    </row>
    <row r="12" customFormat="false" ht="18.75" hidden="false" customHeight="true" outlineLevel="0" collapsed="false">
      <c r="A12" s="26"/>
      <c r="B12" s="30" t="n">
        <v>5</v>
      </c>
      <c r="C12" s="28" t="s">
        <v>79</v>
      </c>
      <c r="D12" s="38"/>
      <c r="E12" s="24"/>
      <c r="F12" s="24"/>
    </row>
    <row r="13" customFormat="false" ht="18.75" hidden="false" customHeight="true" outlineLevel="0" collapsed="false">
      <c r="A13" s="26"/>
      <c r="B13" s="23" t="n">
        <v>6</v>
      </c>
      <c r="C13" s="24" t="s">
        <v>80</v>
      </c>
      <c r="D13" s="38"/>
      <c r="E13" s="24"/>
      <c r="F13" s="24"/>
    </row>
    <row r="14" customFormat="false" ht="18.75" hidden="false" customHeight="true" outlineLevel="0" collapsed="false">
      <c r="A14" s="26"/>
      <c r="B14" s="23" t="n">
        <v>7</v>
      </c>
      <c r="C14" s="24" t="s">
        <v>81</v>
      </c>
      <c r="D14" s="38"/>
      <c r="E14" s="24"/>
      <c r="F14" s="24"/>
    </row>
    <row r="15" customFormat="false" ht="18.75" hidden="false" customHeight="true" outlineLevel="0" collapsed="false">
      <c r="A15" s="26"/>
      <c r="B15" s="20"/>
      <c r="C15" s="21" t="s">
        <v>16</v>
      </c>
      <c r="D15" s="22"/>
      <c r="E15" s="22"/>
      <c r="F15" s="22"/>
    </row>
    <row r="16" customFormat="false" ht="18.75" hidden="false" customHeight="true" outlineLevel="0" collapsed="false">
      <c r="A16" s="26"/>
      <c r="B16" s="23" t="n">
        <v>7</v>
      </c>
      <c r="C16" s="24" t="s">
        <v>82</v>
      </c>
      <c r="D16" s="38"/>
      <c r="E16" s="24"/>
      <c r="F16" s="24"/>
      <c r="G16" s="6" t="n">
        <f aca="false">COUNTIF(D16,"Sim")</f>
        <v>0</v>
      </c>
      <c r="H16" s="6" t="n">
        <f aca="false">COUNTIF(D16,"Parcialmente")</f>
        <v>0</v>
      </c>
      <c r="I16" s="6" t="n">
        <f aca="false">COUNTIF(D16,"Não")</f>
        <v>0</v>
      </c>
      <c r="J16" s="6" t="n">
        <f aca="false">COUNTIF(D16,"NA")</f>
        <v>0</v>
      </c>
    </row>
    <row r="17" customFormat="false" ht="15" hidden="false" customHeight="true" outlineLevel="0" collapsed="false">
      <c r="A17" s="26" t="s">
        <v>83</v>
      </c>
      <c r="B17" s="20"/>
      <c r="C17" s="21" t="s">
        <v>18</v>
      </c>
      <c r="D17" s="39"/>
      <c r="E17" s="22"/>
      <c r="F17" s="22"/>
    </row>
    <row r="18" customFormat="false" ht="18.75" hidden="false" customHeight="true" outlineLevel="0" collapsed="false">
      <c r="A18" s="26"/>
      <c r="B18" s="23" t="n">
        <v>9</v>
      </c>
      <c r="C18" s="24" t="s">
        <v>84</v>
      </c>
      <c r="D18" s="38"/>
      <c r="E18" s="24"/>
      <c r="F18" s="24"/>
      <c r="G18" s="6" t="n">
        <f aca="false">COUNTIF(D18:D21,"Sim")</f>
        <v>0</v>
      </c>
      <c r="H18" s="6" t="n">
        <f aca="false">COUNTIF(D18:D21,"Parcialmente")</f>
        <v>0</v>
      </c>
      <c r="I18" s="6" t="n">
        <f aca="false">COUNTIF(D18:D21,"Não")</f>
        <v>0</v>
      </c>
      <c r="J18" s="6" t="n">
        <f aca="false">COUNTIF(D18:D21,"NA")</f>
        <v>0</v>
      </c>
    </row>
    <row r="19" customFormat="false" ht="18.75" hidden="false" customHeight="true" outlineLevel="0" collapsed="false">
      <c r="A19" s="26"/>
      <c r="B19" s="30" t="n">
        <v>10</v>
      </c>
      <c r="C19" s="28" t="s">
        <v>85</v>
      </c>
      <c r="D19" s="38"/>
      <c r="E19" s="24"/>
      <c r="F19" s="24"/>
    </row>
    <row r="20" customFormat="false" ht="18.75" hidden="false" customHeight="true" outlineLevel="0" collapsed="false">
      <c r="A20" s="26"/>
      <c r="B20" s="23" t="n">
        <v>11</v>
      </c>
      <c r="C20" s="24" t="s">
        <v>86</v>
      </c>
      <c r="D20" s="38"/>
      <c r="E20" s="24"/>
      <c r="F20" s="24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customFormat="false" ht="18.75" hidden="false" customHeight="true" outlineLevel="0" collapsed="false">
      <c r="A21" s="26"/>
      <c r="B21" s="23" t="n">
        <v>12</v>
      </c>
      <c r="C21" s="24" t="s">
        <v>87</v>
      </c>
      <c r="D21" s="38"/>
      <c r="E21" s="24"/>
      <c r="F21" s="24"/>
    </row>
    <row r="22" customFormat="false" ht="18.75" hidden="false" customHeight="true" outlineLevel="0" collapsed="false">
      <c r="A22" s="26" t="s">
        <v>88</v>
      </c>
      <c r="B22" s="20"/>
      <c r="C22" s="21" t="s">
        <v>22</v>
      </c>
      <c r="D22" s="39"/>
      <c r="E22" s="22"/>
      <c r="F22" s="22"/>
    </row>
    <row r="23" customFormat="false" ht="18.75" hidden="false" customHeight="true" outlineLevel="0" collapsed="false">
      <c r="A23" s="26"/>
      <c r="B23" s="23" t="n">
        <v>17</v>
      </c>
      <c r="C23" s="24" t="s">
        <v>84</v>
      </c>
      <c r="D23" s="38"/>
      <c r="E23" s="24"/>
      <c r="F23" s="24"/>
      <c r="G23" s="6" t="n">
        <f aca="false">COUNTIF(D23:D27,"Sim")</f>
        <v>0</v>
      </c>
      <c r="H23" s="6" t="n">
        <f aca="false">COUNTIF(D23:D27,"Parcialmente")</f>
        <v>0</v>
      </c>
      <c r="I23" s="6" t="n">
        <f aca="false">COUNTIF(D23:D27,"Não")</f>
        <v>0</v>
      </c>
      <c r="J23" s="6" t="n">
        <f aca="false">COUNTIF(D23:D27,"NA")</f>
        <v>0</v>
      </c>
    </row>
    <row r="24" customFormat="false" ht="18.75" hidden="false" customHeight="true" outlineLevel="0" collapsed="false">
      <c r="A24" s="26"/>
      <c r="B24" s="23" t="n">
        <v>18</v>
      </c>
      <c r="C24" s="24" t="s">
        <v>89</v>
      </c>
      <c r="D24" s="38"/>
      <c r="E24" s="24"/>
      <c r="F24" s="24"/>
    </row>
    <row r="25" customFormat="false" ht="18.75" hidden="false" customHeight="true" outlineLevel="0" collapsed="false">
      <c r="A25" s="26"/>
      <c r="B25" s="23" t="n">
        <v>19</v>
      </c>
      <c r="C25" s="24" t="s">
        <v>90</v>
      </c>
      <c r="D25" s="38"/>
      <c r="E25" s="24"/>
      <c r="F25" s="24"/>
    </row>
    <row r="26" customFormat="false" ht="18.75" hidden="false" customHeight="true" outlineLevel="0" collapsed="false">
      <c r="A26" s="26"/>
      <c r="B26" s="23" t="n">
        <v>21</v>
      </c>
      <c r="C26" s="24" t="s">
        <v>91</v>
      </c>
      <c r="D26" s="38"/>
      <c r="E26" s="24"/>
      <c r="F26" s="24"/>
    </row>
    <row r="27" customFormat="false" ht="18.75" hidden="false" customHeight="true" outlineLevel="0" collapsed="false">
      <c r="A27" s="26"/>
      <c r="B27" s="23" t="n">
        <v>22</v>
      </c>
      <c r="C27" s="24" t="s">
        <v>92</v>
      </c>
      <c r="D27" s="38"/>
      <c r="E27" s="24"/>
      <c r="F27" s="24"/>
    </row>
    <row r="28" customFormat="false" ht="18.75" hidden="false" customHeight="true" outlineLevel="0" collapsed="false">
      <c r="A28" s="19" t="s">
        <v>93</v>
      </c>
      <c r="B28" s="20"/>
      <c r="C28" s="21" t="s">
        <v>23</v>
      </c>
      <c r="D28" s="39"/>
      <c r="E28" s="22"/>
      <c r="F28" s="22"/>
    </row>
    <row r="29" customFormat="false" ht="18.75" hidden="false" customHeight="true" outlineLevel="0" collapsed="false">
      <c r="A29" s="19"/>
      <c r="B29" s="23" t="n">
        <v>23</v>
      </c>
      <c r="C29" s="24" t="s">
        <v>94</v>
      </c>
      <c r="D29" s="38"/>
      <c r="E29" s="24"/>
      <c r="F29" s="24"/>
      <c r="G29" s="6" t="n">
        <f aca="false">COUNTIF(D29:D34,"Sim")</f>
        <v>0</v>
      </c>
      <c r="H29" s="6" t="n">
        <f aca="false">COUNTIF(D29:D34,"Parcialmente")</f>
        <v>0</v>
      </c>
      <c r="I29" s="6" t="n">
        <f aca="false">COUNTIF(D29:D34,"Não")</f>
        <v>0</v>
      </c>
      <c r="J29" s="6" t="n">
        <f aca="false">COUNTIF(D29:D34,"NA")</f>
        <v>0</v>
      </c>
    </row>
    <row r="30" customFormat="false" ht="18.75" hidden="false" customHeight="true" outlineLevel="0" collapsed="false">
      <c r="A30" s="19"/>
      <c r="B30" s="23" t="n">
        <v>24</v>
      </c>
      <c r="C30" s="24" t="s">
        <v>95</v>
      </c>
      <c r="D30" s="38"/>
      <c r="E30" s="24"/>
      <c r="F30" s="24"/>
    </row>
    <row r="31" customFormat="false" ht="18.75" hidden="false" customHeight="true" outlineLevel="0" collapsed="false">
      <c r="A31" s="19"/>
      <c r="B31" s="23" t="n">
        <v>25</v>
      </c>
      <c r="C31" s="24" t="s">
        <v>96</v>
      </c>
      <c r="D31" s="38"/>
      <c r="E31" s="24"/>
      <c r="F31" s="24"/>
    </row>
    <row r="32" customFormat="false" ht="18.75" hidden="false" customHeight="true" outlineLevel="0" collapsed="false">
      <c r="A32" s="19"/>
      <c r="B32" s="23" t="n">
        <v>26</v>
      </c>
      <c r="C32" s="24" t="s">
        <v>97</v>
      </c>
      <c r="D32" s="38"/>
      <c r="E32" s="24"/>
      <c r="F32" s="24"/>
    </row>
    <row r="33" customFormat="false" ht="18.75" hidden="false" customHeight="true" outlineLevel="0" collapsed="false">
      <c r="A33" s="19"/>
      <c r="B33" s="23" t="n">
        <v>27</v>
      </c>
      <c r="C33" s="24" t="s">
        <v>98</v>
      </c>
      <c r="D33" s="38"/>
      <c r="E33" s="24"/>
      <c r="F33" s="24"/>
    </row>
    <row r="34" customFormat="false" ht="18.75" hidden="false" customHeight="true" outlineLevel="0" collapsed="false">
      <c r="A34" s="19"/>
      <c r="B34" s="23" t="n">
        <v>28</v>
      </c>
      <c r="C34" s="24" t="s">
        <v>99</v>
      </c>
      <c r="D34" s="38"/>
      <c r="E34" s="24"/>
      <c r="F34" s="24"/>
    </row>
    <row r="35" customFormat="false" ht="15" hidden="false" customHeight="true" outlineLevel="0" collapsed="false">
      <c r="A35" s="32" t="s">
        <v>68</v>
      </c>
      <c r="B35" s="20"/>
      <c r="C35" s="21" t="s">
        <v>24</v>
      </c>
      <c r="D35" s="39"/>
      <c r="E35" s="22"/>
      <c r="F35" s="22"/>
    </row>
    <row r="36" customFormat="false" ht="18.75" hidden="false" customHeight="true" outlineLevel="0" collapsed="false">
      <c r="A36" s="32"/>
      <c r="B36" s="23" t="n">
        <v>29</v>
      </c>
      <c r="C36" s="24" t="s">
        <v>70</v>
      </c>
      <c r="D36" s="38"/>
      <c r="E36" s="24"/>
      <c r="F36" s="24"/>
      <c r="G36" s="6" t="n">
        <f aca="false">COUNTIF(D36:D38,"Sim")</f>
        <v>0</v>
      </c>
      <c r="H36" s="6" t="n">
        <f aca="false">COUNTIF(D36:D38,"Parcialmente")</f>
        <v>0</v>
      </c>
      <c r="I36" s="6" t="n">
        <f aca="false">COUNTIF(D36:D38,"Não")</f>
        <v>0</v>
      </c>
      <c r="J36" s="6" t="n">
        <f aca="false">COUNTIF(D36:D38,"NA")</f>
        <v>0</v>
      </c>
    </row>
    <row r="37" customFormat="false" ht="18.75" hidden="false" customHeight="true" outlineLevel="0" collapsed="false">
      <c r="A37" s="32"/>
      <c r="B37" s="23" t="n">
        <v>30</v>
      </c>
      <c r="C37" s="24" t="s">
        <v>71</v>
      </c>
      <c r="D37" s="38"/>
      <c r="E37" s="24"/>
      <c r="F37" s="24"/>
    </row>
    <row r="38" customFormat="false" ht="18.75" hidden="false" customHeight="true" outlineLevel="0" collapsed="false">
      <c r="A38" s="32"/>
      <c r="B38" s="23" t="n">
        <v>31</v>
      </c>
      <c r="C38" s="24" t="s">
        <v>72</v>
      </c>
      <c r="D38" s="38"/>
      <c r="E38" s="24"/>
      <c r="F38" s="24"/>
    </row>
    <row r="39" customFormat="false" ht="18.75" hidden="false" customHeight="true" outlineLevel="0" collapsed="false">
      <c r="A39" s="32"/>
      <c r="B39" s="20"/>
      <c r="C39" s="21" t="s">
        <v>25</v>
      </c>
      <c r="D39" s="39"/>
      <c r="E39" s="22"/>
      <c r="F39" s="22"/>
    </row>
    <row r="40" customFormat="false" ht="18.75" hidden="false" customHeight="true" outlineLevel="0" collapsed="false">
      <c r="A40" s="32"/>
      <c r="B40" s="23" t="n">
        <v>32</v>
      </c>
      <c r="C40" s="24" t="s">
        <v>100</v>
      </c>
      <c r="D40" s="38"/>
      <c r="E40" s="24"/>
      <c r="F40" s="24"/>
      <c r="G40" s="6" t="n">
        <f aca="false">COUNTIF(D40:D41,"Sim")</f>
        <v>0</v>
      </c>
      <c r="H40" s="6" t="n">
        <f aca="false">COUNTIF(D40:D41,"Parcialmente")</f>
        <v>0</v>
      </c>
      <c r="I40" s="6" t="n">
        <f aca="false">COUNTIF(D40:D41,"Não")</f>
        <v>0</v>
      </c>
      <c r="J40" s="6" t="n">
        <f aca="false">COUNTIF(D40:D41,"NA")</f>
        <v>0</v>
      </c>
    </row>
    <row r="41" customFormat="false" ht="18.75" hidden="false" customHeight="true" outlineLevel="0" collapsed="false">
      <c r="A41" s="32"/>
      <c r="B41" s="23" t="n">
        <v>33</v>
      </c>
      <c r="C41" s="24" t="s">
        <v>101</v>
      </c>
      <c r="D41" s="38"/>
      <c r="E41" s="24"/>
      <c r="F41" s="24"/>
    </row>
    <row r="42" customFormat="false" ht="18.75" hidden="false" customHeight="true" outlineLevel="0" collapsed="false">
      <c r="B42" s="33"/>
      <c r="C42" s="29"/>
    </row>
    <row r="43" customFormat="false" ht="18.75" hidden="false" customHeight="true" outlineLevel="0" collapsed="false">
      <c r="B43" s="33"/>
      <c r="C43" s="29"/>
    </row>
    <row r="44" customFormat="false" ht="18.75" hidden="false" customHeight="true" outlineLevel="0" collapsed="false">
      <c r="B44" s="33"/>
      <c r="C44" s="29"/>
    </row>
    <row r="45" customFormat="false" ht="18.75" hidden="false" customHeight="true" outlineLevel="0" collapsed="false">
      <c r="B45" s="33"/>
      <c r="C45" s="29"/>
    </row>
    <row r="46" customFormat="false" ht="18.75" hidden="false" customHeight="true" outlineLevel="0" collapsed="false">
      <c r="B46" s="33"/>
      <c r="C46" s="29"/>
    </row>
    <row r="47" customFormat="false" ht="18.75" hidden="false" customHeight="true" outlineLevel="0" collapsed="false">
      <c r="B47" s="33"/>
      <c r="C47" s="29"/>
    </row>
    <row r="48" customFormat="false" ht="18.75" hidden="false" customHeight="true" outlineLevel="0" collapsed="false">
      <c r="B48" s="33"/>
      <c r="C48" s="29"/>
    </row>
    <row r="49" customFormat="false" ht="18.75" hidden="false" customHeight="true" outlineLevel="0" collapsed="false">
      <c r="B49" s="33"/>
      <c r="C49" s="29"/>
    </row>
    <row r="50" customFormat="false" ht="18.75" hidden="false" customHeight="true" outlineLevel="0" collapsed="false">
      <c r="B50" s="33"/>
      <c r="C50" s="29"/>
    </row>
    <row r="51" customFormat="false" ht="18.75" hidden="false" customHeight="true" outlineLevel="0" collapsed="false">
      <c r="B51" s="33"/>
      <c r="C51" s="29"/>
    </row>
    <row r="52" customFormat="false" ht="18.75" hidden="false" customHeight="true" outlineLevel="0" collapsed="false">
      <c r="B52" s="33"/>
      <c r="C52" s="29"/>
    </row>
    <row r="53" customFormat="false" ht="18.75" hidden="false" customHeight="true" outlineLevel="0" collapsed="false">
      <c r="B53" s="33"/>
      <c r="C53" s="29"/>
    </row>
    <row r="54" customFormat="false" ht="18.75" hidden="false" customHeight="true" outlineLevel="0" collapsed="false">
      <c r="B54" s="33"/>
      <c r="C54" s="29"/>
    </row>
    <row r="55" customFormat="false" ht="18.75" hidden="false" customHeight="true" outlineLevel="0" collapsed="false">
      <c r="B55" s="33"/>
      <c r="C55" s="29"/>
    </row>
    <row r="56" customFormat="false" ht="18.75" hidden="false" customHeight="true" outlineLevel="0" collapsed="false">
      <c r="B56" s="33"/>
      <c r="C56" s="29"/>
    </row>
    <row r="57" customFormat="false" ht="18.75" hidden="false" customHeight="true" outlineLevel="0" collapsed="false">
      <c r="B57" s="33"/>
      <c r="C57" s="29"/>
    </row>
    <row r="58" customFormat="false" ht="18.75" hidden="false" customHeight="true" outlineLevel="0" collapsed="false">
      <c r="B58" s="33"/>
      <c r="C58" s="29"/>
    </row>
    <row r="59" customFormat="false" ht="18.75" hidden="false" customHeight="true" outlineLevel="0" collapsed="false">
      <c r="B59" s="33"/>
      <c r="C59" s="29"/>
    </row>
    <row r="60" customFormat="false" ht="18.75" hidden="false" customHeight="true" outlineLevel="0" collapsed="false">
      <c r="B60" s="33"/>
      <c r="C60" s="29"/>
    </row>
    <row r="61" customFormat="false" ht="18.75" hidden="false" customHeight="true" outlineLevel="0" collapsed="false">
      <c r="B61" s="33"/>
      <c r="C61" s="29"/>
    </row>
    <row r="62" customFormat="false" ht="18.75" hidden="false" customHeight="true" outlineLevel="0" collapsed="false">
      <c r="B62" s="33"/>
      <c r="C62" s="29"/>
    </row>
    <row r="63" customFormat="false" ht="18.75" hidden="false" customHeight="true" outlineLevel="0" collapsed="false">
      <c r="B63" s="33"/>
      <c r="C63" s="29"/>
    </row>
    <row r="64" customFormat="false" ht="18.75" hidden="false" customHeight="true" outlineLevel="0" collapsed="false">
      <c r="B64" s="33"/>
      <c r="C64" s="29"/>
    </row>
    <row r="65" customFormat="false" ht="18.75" hidden="false" customHeight="true" outlineLevel="0" collapsed="false">
      <c r="B65" s="33"/>
      <c r="C65" s="29"/>
    </row>
    <row r="66" customFormat="false" ht="18.75" hidden="false" customHeight="true" outlineLevel="0" collapsed="false">
      <c r="B66" s="33"/>
      <c r="C66" s="29"/>
    </row>
    <row r="67" customFormat="false" ht="18.75" hidden="false" customHeight="true" outlineLevel="0" collapsed="false">
      <c r="B67" s="33"/>
      <c r="C67" s="29"/>
    </row>
    <row r="68" customFormat="false" ht="18.75" hidden="false" customHeight="true" outlineLevel="0" collapsed="false">
      <c r="B68" s="33"/>
      <c r="C68" s="29"/>
    </row>
    <row r="69" customFormat="false" ht="18.75" hidden="false" customHeight="true" outlineLevel="0" collapsed="false">
      <c r="B69" s="33"/>
      <c r="C69" s="29"/>
    </row>
    <row r="70" customFormat="false" ht="18.75" hidden="false" customHeight="true" outlineLevel="0" collapsed="false">
      <c r="B70" s="33"/>
      <c r="C70" s="29"/>
    </row>
    <row r="71" customFormat="false" ht="18.75" hidden="false" customHeight="true" outlineLevel="0" collapsed="false">
      <c r="B71" s="33"/>
      <c r="C71" s="29"/>
    </row>
    <row r="72" customFormat="false" ht="18.75" hidden="false" customHeight="true" outlineLevel="0" collapsed="false">
      <c r="B72" s="33"/>
      <c r="C72" s="29"/>
    </row>
    <row r="73" customFormat="false" ht="18.75" hidden="false" customHeight="true" outlineLevel="0" collapsed="false">
      <c r="B73" s="33"/>
      <c r="C73" s="29"/>
    </row>
    <row r="74" customFormat="false" ht="18.75" hidden="false" customHeight="true" outlineLevel="0" collapsed="false">
      <c r="B74" s="33"/>
      <c r="C74" s="29"/>
    </row>
    <row r="75" customFormat="false" ht="18.75" hidden="false" customHeight="true" outlineLevel="0" collapsed="false">
      <c r="B75" s="33"/>
      <c r="C75" s="29"/>
    </row>
    <row r="76" customFormat="false" ht="18.75" hidden="false" customHeight="true" outlineLevel="0" collapsed="false">
      <c r="B76" s="33"/>
      <c r="C76" s="29"/>
    </row>
    <row r="77" customFormat="false" ht="18.75" hidden="false" customHeight="true" outlineLevel="0" collapsed="false">
      <c r="B77" s="33"/>
      <c r="C77" s="29"/>
    </row>
    <row r="78" customFormat="false" ht="18.75" hidden="false" customHeight="true" outlineLevel="0" collapsed="false">
      <c r="B78" s="33"/>
      <c r="C78" s="29"/>
    </row>
    <row r="79" customFormat="false" ht="18.75" hidden="false" customHeight="true" outlineLevel="0" collapsed="false">
      <c r="B79" s="33"/>
      <c r="C79" s="29"/>
    </row>
    <row r="80" customFormat="false" ht="18.75" hidden="false" customHeight="true" outlineLevel="0" collapsed="false">
      <c r="B80" s="33"/>
      <c r="C80" s="29"/>
    </row>
    <row r="81" customFormat="false" ht="18.75" hidden="false" customHeight="true" outlineLevel="0" collapsed="false">
      <c r="B81" s="33"/>
      <c r="C81" s="29"/>
    </row>
    <row r="82" customFormat="false" ht="18.75" hidden="false" customHeight="true" outlineLevel="0" collapsed="false">
      <c r="B82" s="33"/>
      <c r="C82" s="29"/>
    </row>
    <row r="83" customFormat="false" ht="18.75" hidden="false" customHeight="true" outlineLevel="0" collapsed="false">
      <c r="B83" s="33"/>
      <c r="C83" s="29"/>
    </row>
    <row r="84" customFormat="false" ht="18.75" hidden="false" customHeight="true" outlineLevel="0" collapsed="false">
      <c r="B84" s="33"/>
      <c r="C84" s="29"/>
    </row>
    <row r="85" customFormat="false" ht="18.75" hidden="false" customHeight="true" outlineLevel="0" collapsed="false">
      <c r="B85" s="33"/>
      <c r="C85" s="29"/>
    </row>
    <row r="86" customFormat="false" ht="18.75" hidden="false" customHeight="true" outlineLevel="0" collapsed="false">
      <c r="B86" s="33"/>
      <c r="C86" s="29"/>
    </row>
    <row r="87" customFormat="false" ht="18.75" hidden="false" customHeight="true" outlineLevel="0" collapsed="false">
      <c r="B87" s="33"/>
      <c r="C87" s="29"/>
    </row>
    <row r="88" customFormat="false" ht="18.75" hidden="false" customHeight="true" outlineLevel="0" collapsed="false">
      <c r="B88" s="33"/>
      <c r="C88" s="29"/>
    </row>
    <row r="89" customFormat="false" ht="18.75" hidden="false" customHeight="true" outlineLevel="0" collapsed="false">
      <c r="B89" s="33"/>
      <c r="C89" s="29"/>
    </row>
    <row r="90" customFormat="false" ht="18.75" hidden="false" customHeight="true" outlineLevel="0" collapsed="false">
      <c r="B90" s="33"/>
      <c r="C90" s="29"/>
    </row>
    <row r="91" customFormat="false" ht="18.75" hidden="false" customHeight="true" outlineLevel="0" collapsed="false">
      <c r="B91" s="33"/>
      <c r="C91" s="29"/>
    </row>
    <row r="92" customFormat="false" ht="18.75" hidden="false" customHeight="true" outlineLevel="0" collapsed="false">
      <c r="B92" s="33"/>
      <c r="C92" s="29"/>
    </row>
    <row r="93" customFormat="false" ht="18.75" hidden="false" customHeight="true" outlineLevel="0" collapsed="false">
      <c r="B93" s="33"/>
      <c r="C93" s="29"/>
    </row>
    <row r="94" customFormat="false" ht="18.75" hidden="false" customHeight="true" outlineLevel="0" collapsed="false">
      <c r="B94" s="33"/>
      <c r="C94" s="29"/>
    </row>
    <row r="95" customFormat="false" ht="18.75" hidden="false" customHeight="true" outlineLevel="0" collapsed="false">
      <c r="B95" s="33"/>
      <c r="C95" s="29"/>
    </row>
    <row r="96" customFormat="false" ht="18.75" hidden="false" customHeight="true" outlineLevel="0" collapsed="false">
      <c r="B96" s="33"/>
      <c r="C96" s="29"/>
    </row>
    <row r="97" customFormat="false" ht="18.75" hidden="false" customHeight="true" outlineLevel="0" collapsed="false">
      <c r="B97" s="33"/>
      <c r="C97" s="29"/>
    </row>
    <row r="98" customFormat="false" ht="18.75" hidden="false" customHeight="true" outlineLevel="0" collapsed="false">
      <c r="B98" s="33"/>
      <c r="C98" s="29"/>
    </row>
    <row r="99" customFormat="false" ht="18.75" hidden="false" customHeight="true" outlineLevel="0" collapsed="false">
      <c r="B99" s="33"/>
      <c r="C99" s="29"/>
    </row>
    <row r="100" customFormat="false" ht="18.75" hidden="false" customHeight="true" outlineLevel="0" collapsed="false">
      <c r="B100" s="33"/>
      <c r="C100" s="29"/>
    </row>
    <row r="101" customFormat="false" ht="18.75" hidden="false" customHeight="true" outlineLevel="0" collapsed="false">
      <c r="B101" s="33"/>
      <c r="C101" s="29"/>
    </row>
    <row r="102" customFormat="false" ht="18.75" hidden="false" customHeight="true" outlineLevel="0" collapsed="false">
      <c r="B102" s="33"/>
      <c r="C102" s="29"/>
    </row>
    <row r="103" customFormat="false" ht="18.75" hidden="false" customHeight="true" outlineLevel="0" collapsed="false">
      <c r="B103" s="33"/>
      <c r="C103" s="29"/>
    </row>
    <row r="104" customFormat="false" ht="18.75" hidden="false" customHeight="true" outlineLevel="0" collapsed="false">
      <c r="B104" s="33"/>
      <c r="C104" s="29"/>
    </row>
    <row r="105" customFormat="false" ht="18.75" hidden="false" customHeight="true" outlineLevel="0" collapsed="false">
      <c r="B105" s="33"/>
      <c r="C105" s="29"/>
    </row>
    <row r="106" customFormat="false" ht="18.75" hidden="false" customHeight="true" outlineLevel="0" collapsed="false">
      <c r="B106" s="33"/>
      <c r="C106" s="29"/>
    </row>
    <row r="107" customFormat="false" ht="18.75" hidden="false" customHeight="true" outlineLevel="0" collapsed="false">
      <c r="B107" s="33"/>
      <c r="C107" s="29"/>
    </row>
    <row r="108" customFormat="false" ht="18.75" hidden="false" customHeight="true" outlineLevel="0" collapsed="false">
      <c r="B108" s="33"/>
      <c r="C108" s="29"/>
    </row>
    <row r="109" customFormat="false" ht="18.75" hidden="false" customHeight="true" outlineLevel="0" collapsed="false">
      <c r="B109" s="33"/>
      <c r="C109" s="29"/>
    </row>
    <row r="110" customFormat="false" ht="18.75" hidden="false" customHeight="true" outlineLevel="0" collapsed="false">
      <c r="B110" s="33"/>
      <c r="C110" s="29"/>
    </row>
    <row r="111" customFormat="false" ht="18.75" hidden="false" customHeight="true" outlineLevel="0" collapsed="false">
      <c r="B111" s="33"/>
      <c r="C111" s="29"/>
    </row>
    <row r="112" customFormat="false" ht="18.75" hidden="false" customHeight="true" outlineLevel="0" collapsed="false">
      <c r="B112" s="33"/>
      <c r="C112" s="29"/>
    </row>
    <row r="113" customFormat="false" ht="18.75" hidden="false" customHeight="true" outlineLevel="0" collapsed="false">
      <c r="B113" s="33"/>
      <c r="C113" s="29"/>
    </row>
    <row r="114" customFormat="false" ht="18.75" hidden="false" customHeight="true" outlineLevel="0" collapsed="false">
      <c r="B114" s="33"/>
      <c r="C114" s="29"/>
    </row>
    <row r="115" customFormat="false" ht="18.75" hidden="false" customHeight="true" outlineLevel="0" collapsed="false">
      <c r="B115" s="33"/>
      <c r="C115" s="29"/>
    </row>
    <row r="116" customFormat="false" ht="18.75" hidden="false" customHeight="true" outlineLevel="0" collapsed="false">
      <c r="B116" s="33"/>
      <c r="C116" s="29"/>
    </row>
    <row r="117" customFormat="false" ht="18.75" hidden="false" customHeight="true" outlineLevel="0" collapsed="false">
      <c r="B117" s="33"/>
      <c r="C117" s="29"/>
    </row>
    <row r="118" customFormat="false" ht="18.75" hidden="false" customHeight="true" outlineLevel="0" collapsed="false">
      <c r="B118" s="33"/>
      <c r="C118" s="29"/>
    </row>
    <row r="119" customFormat="false" ht="18.75" hidden="false" customHeight="true" outlineLevel="0" collapsed="false">
      <c r="B119" s="33"/>
      <c r="C119" s="29"/>
    </row>
    <row r="120" customFormat="false" ht="18.75" hidden="false" customHeight="true" outlineLevel="0" collapsed="false">
      <c r="B120" s="33"/>
      <c r="C120" s="29"/>
    </row>
    <row r="121" customFormat="false" ht="18.75" hidden="false" customHeight="true" outlineLevel="0" collapsed="false">
      <c r="B121" s="33"/>
      <c r="C121" s="29"/>
    </row>
    <row r="122" customFormat="false" ht="18.75" hidden="false" customHeight="true" outlineLevel="0" collapsed="false">
      <c r="B122" s="33"/>
      <c r="C122" s="29"/>
    </row>
    <row r="123" customFormat="false" ht="18.75" hidden="false" customHeight="true" outlineLevel="0" collapsed="false">
      <c r="B123" s="33"/>
      <c r="C123" s="29"/>
    </row>
    <row r="124" customFormat="false" ht="18.75" hidden="false" customHeight="true" outlineLevel="0" collapsed="false">
      <c r="B124" s="33"/>
      <c r="C124" s="29"/>
    </row>
    <row r="125" customFormat="false" ht="18.75" hidden="false" customHeight="true" outlineLevel="0" collapsed="false">
      <c r="B125" s="33"/>
      <c r="C125" s="29"/>
    </row>
    <row r="126" customFormat="false" ht="18.75" hidden="false" customHeight="true" outlineLevel="0" collapsed="false">
      <c r="B126" s="33"/>
      <c r="C126" s="29"/>
    </row>
    <row r="127" customFormat="false" ht="18.75" hidden="false" customHeight="true" outlineLevel="0" collapsed="false">
      <c r="B127" s="33"/>
      <c r="C127" s="29"/>
    </row>
    <row r="128" customFormat="false" ht="18.75" hidden="false" customHeight="true" outlineLevel="0" collapsed="false">
      <c r="B128" s="33"/>
      <c r="C128" s="29"/>
    </row>
    <row r="129" customFormat="false" ht="18.75" hidden="false" customHeight="true" outlineLevel="0" collapsed="false">
      <c r="B129" s="33"/>
      <c r="C129" s="29"/>
    </row>
    <row r="130" customFormat="false" ht="18.75" hidden="false" customHeight="true" outlineLevel="0" collapsed="false">
      <c r="B130" s="33"/>
      <c r="C130" s="29"/>
    </row>
    <row r="131" customFormat="false" ht="18.75" hidden="false" customHeight="true" outlineLevel="0" collapsed="false">
      <c r="B131" s="33"/>
      <c r="C131" s="29"/>
    </row>
    <row r="132" customFormat="false" ht="18.75" hidden="false" customHeight="true" outlineLevel="0" collapsed="false">
      <c r="B132" s="33"/>
      <c r="C132" s="29"/>
    </row>
    <row r="133" customFormat="false" ht="18.75" hidden="false" customHeight="true" outlineLevel="0" collapsed="false">
      <c r="B133" s="33"/>
      <c r="C133" s="29"/>
    </row>
    <row r="134" customFormat="false" ht="18.75" hidden="false" customHeight="true" outlineLevel="0" collapsed="false">
      <c r="B134" s="33"/>
      <c r="C134" s="29"/>
    </row>
    <row r="135" customFormat="false" ht="18.75" hidden="false" customHeight="true" outlineLevel="0" collapsed="false">
      <c r="B135" s="33"/>
      <c r="C135" s="29"/>
    </row>
    <row r="136" customFormat="false" ht="18.75" hidden="false" customHeight="true" outlineLevel="0" collapsed="false">
      <c r="B136" s="33"/>
      <c r="C136" s="29"/>
    </row>
    <row r="137" customFormat="false" ht="18.75" hidden="false" customHeight="true" outlineLevel="0" collapsed="false">
      <c r="B137" s="33"/>
      <c r="C137" s="29"/>
    </row>
    <row r="138" customFormat="false" ht="18.75" hidden="false" customHeight="true" outlineLevel="0" collapsed="false">
      <c r="B138" s="33"/>
      <c r="C138" s="29"/>
    </row>
    <row r="139" customFormat="false" ht="18.75" hidden="false" customHeight="true" outlineLevel="0" collapsed="false">
      <c r="B139" s="33"/>
      <c r="C139" s="29"/>
    </row>
    <row r="140" customFormat="false" ht="18.75" hidden="false" customHeight="true" outlineLevel="0" collapsed="false">
      <c r="B140" s="33"/>
      <c r="C140" s="29"/>
    </row>
    <row r="141" customFormat="false" ht="18.75" hidden="false" customHeight="true" outlineLevel="0" collapsed="false">
      <c r="B141" s="33"/>
      <c r="C141" s="29"/>
    </row>
    <row r="142" customFormat="false" ht="18.75" hidden="false" customHeight="true" outlineLevel="0" collapsed="false">
      <c r="B142" s="33"/>
      <c r="C142" s="29"/>
    </row>
    <row r="143" customFormat="false" ht="18.75" hidden="false" customHeight="true" outlineLevel="0" collapsed="false">
      <c r="B143" s="33"/>
      <c r="C143" s="29"/>
    </row>
    <row r="144" customFormat="false" ht="18.75" hidden="false" customHeight="true" outlineLevel="0" collapsed="false">
      <c r="B144" s="33"/>
      <c r="C144" s="29"/>
    </row>
    <row r="145" customFormat="false" ht="18.75" hidden="false" customHeight="true" outlineLevel="0" collapsed="false">
      <c r="B145" s="33"/>
      <c r="C145" s="29"/>
    </row>
    <row r="146" customFormat="false" ht="18.75" hidden="false" customHeight="true" outlineLevel="0" collapsed="false">
      <c r="B146" s="33"/>
      <c r="C146" s="29"/>
    </row>
    <row r="147" customFormat="false" ht="18.75" hidden="false" customHeight="true" outlineLevel="0" collapsed="false">
      <c r="B147" s="33"/>
      <c r="C147" s="29"/>
    </row>
    <row r="148" customFormat="false" ht="18.75" hidden="false" customHeight="true" outlineLevel="0" collapsed="false">
      <c r="B148" s="33"/>
      <c r="C148" s="29"/>
    </row>
    <row r="149" customFormat="false" ht="18.75" hidden="false" customHeight="true" outlineLevel="0" collapsed="false">
      <c r="B149" s="33"/>
      <c r="C149" s="29"/>
    </row>
    <row r="150" customFormat="false" ht="18.75" hidden="false" customHeight="true" outlineLevel="0" collapsed="false">
      <c r="B150" s="33"/>
      <c r="C150" s="29"/>
    </row>
    <row r="151" customFormat="false" ht="18.75" hidden="false" customHeight="true" outlineLevel="0" collapsed="false">
      <c r="B151" s="33"/>
      <c r="C151" s="29"/>
    </row>
    <row r="152" customFormat="false" ht="18.75" hidden="false" customHeight="true" outlineLevel="0" collapsed="false">
      <c r="B152" s="33"/>
      <c r="C152" s="29"/>
    </row>
    <row r="153" customFormat="false" ht="18.75" hidden="false" customHeight="true" outlineLevel="0" collapsed="false">
      <c r="B153" s="33"/>
      <c r="C153" s="29"/>
    </row>
    <row r="154" customFormat="false" ht="18.75" hidden="false" customHeight="true" outlineLevel="0" collapsed="false">
      <c r="B154" s="33"/>
      <c r="C154" s="29"/>
    </row>
    <row r="155" customFormat="false" ht="18.75" hidden="false" customHeight="true" outlineLevel="0" collapsed="false">
      <c r="B155" s="33"/>
      <c r="C155" s="29"/>
    </row>
    <row r="156" customFormat="false" ht="18.75" hidden="false" customHeight="true" outlineLevel="0" collapsed="false">
      <c r="B156" s="33"/>
      <c r="C156" s="29"/>
    </row>
    <row r="157" customFormat="false" ht="18.75" hidden="false" customHeight="true" outlineLevel="0" collapsed="false">
      <c r="B157" s="33"/>
      <c r="C157" s="29"/>
    </row>
    <row r="158" customFormat="false" ht="18.75" hidden="false" customHeight="true" outlineLevel="0" collapsed="false">
      <c r="B158" s="33"/>
      <c r="C158" s="29"/>
    </row>
    <row r="159" customFormat="false" ht="18.75" hidden="false" customHeight="true" outlineLevel="0" collapsed="false">
      <c r="B159" s="33"/>
      <c r="C159" s="29"/>
    </row>
    <row r="160" customFormat="false" ht="18.75" hidden="false" customHeight="true" outlineLevel="0" collapsed="false">
      <c r="B160" s="33"/>
      <c r="C160" s="29"/>
    </row>
    <row r="161" customFormat="false" ht="18.75" hidden="false" customHeight="true" outlineLevel="0" collapsed="false">
      <c r="B161" s="33"/>
      <c r="C161" s="29"/>
    </row>
    <row r="162" customFormat="false" ht="18.75" hidden="false" customHeight="true" outlineLevel="0" collapsed="false">
      <c r="B162" s="33"/>
      <c r="C162" s="29"/>
    </row>
    <row r="163" customFormat="false" ht="18.75" hidden="false" customHeight="true" outlineLevel="0" collapsed="false">
      <c r="B163" s="33"/>
      <c r="C163" s="29"/>
    </row>
    <row r="164" customFormat="false" ht="18.75" hidden="false" customHeight="true" outlineLevel="0" collapsed="false">
      <c r="B164" s="33"/>
      <c r="C164" s="29"/>
    </row>
    <row r="165" customFormat="false" ht="18.75" hidden="false" customHeight="true" outlineLevel="0" collapsed="false">
      <c r="B165" s="33"/>
      <c r="C165" s="29"/>
    </row>
    <row r="166" customFormat="false" ht="18.75" hidden="false" customHeight="true" outlineLevel="0" collapsed="false">
      <c r="B166" s="33"/>
      <c r="C166" s="29"/>
    </row>
    <row r="167" customFormat="false" ht="18.75" hidden="false" customHeight="true" outlineLevel="0" collapsed="false">
      <c r="B167" s="33"/>
      <c r="C167" s="29"/>
    </row>
    <row r="168" customFormat="false" ht="18.75" hidden="false" customHeight="true" outlineLevel="0" collapsed="false">
      <c r="B168" s="33"/>
      <c r="C168" s="29"/>
    </row>
    <row r="169" customFormat="false" ht="18.75" hidden="false" customHeight="true" outlineLevel="0" collapsed="false">
      <c r="B169" s="33"/>
      <c r="C169" s="29"/>
    </row>
    <row r="170" customFormat="false" ht="18.75" hidden="false" customHeight="true" outlineLevel="0" collapsed="false">
      <c r="B170" s="33"/>
      <c r="C170" s="29"/>
    </row>
    <row r="171" customFormat="false" ht="18.75" hidden="false" customHeight="true" outlineLevel="0" collapsed="false">
      <c r="B171" s="33"/>
      <c r="C171" s="29"/>
    </row>
    <row r="172" customFormat="false" ht="18.75" hidden="false" customHeight="true" outlineLevel="0" collapsed="false">
      <c r="B172" s="33"/>
      <c r="C172" s="29"/>
    </row>
    <row r="173" customFormat="false" ht="18.75" hidden="false" customHeight="true" outlineLevel="0" collapsed="false">
      <c r="B173" s="33"/>
      <c r="C173" s="29"/>
    </row>
    <row r="174" customFormat="false" ht="18.75" hidden="false" customHeight="true" outlineLevel="0" collapsed="false">
      <c r="B174" s="33"/>
      <c r="C174" s="29"/>
    </row>
    <row r="175" customFormat="false" ht="18.75" hidden="false" customHeight="true" outlineLevel="0" collapsed="false">
      <c r="B175" s="33"/>
      <c r="C175" s="29"/>
    </row>
    <row r="176" customFormat="false" ht="18.75" hidden="false" customHeight="true" outlineLevel="0" collapsed="false">
      <c r="B176" s="33"/>
      <c r="C176" s="29"/>
    </row>
    <row r="177" customFormat="false" ht="18.75" hidden="false" customHeight="true" outlineLevel="0" collapsed="false">
      <c r="B177" s="33"/>
      <c r="C177" s="29"/>
    </row>
    <row r="178" customFormat="false" ht="18.75" hidden="false" customHeight="true" outlineLevel="0" collapsed="false">
      <c r="B178" s="33"/>
      <c r="C178" s="29"/>
    </row>
    <row r="179" customFormat="false" ht="18.75" hidden="false" customHeight="true" outlineLevel="0" collapsed="false">
      <c r="B179" s="33"/>
      <c r="C179" s="29"/>
    </row>
    <row r="180" customFormat="false" ht="18.75" hidden="false" customHeight="true" outlineLevel="0" collapsed="false">
      <c r="B180" s="33"/>
      <c r="C180" s="29"/>
    </row>
    <row r="181" customFormat="false" ht="18.75" hidden="false" customHeight="true" outlineLevel="0" collapsed="false">
      <c r="B181" s="33"/>
      <c r="C181" s="29"/>
    </row>
    <row r="182" customFormat="false" ht="18.75" hidden="false" customHeight="true" outlineLevel="0" collapsed="false">
      <c r="B182" s="33"/>
      <c r="C182" s="29"/>
    </row>
    <row r="183" customFormat="false" ht="18.75" hidden="false" customHeight="true" outlineLevel="0" collapsed="false">
      <c r="B183" s="33"/>
      <c r="C183" s="29"/>
    </row>
    <row r="184" customFormat="false" ht="18.75" hidden="false" customHeight="true" outlineLevel="0" collapsed="false">
      <c r="B184" s="33"/>
      <c r="C184" s="29"/>
    </row>
    <row r="185" customFormat="false" ht="18.75" hidden="false" customHeight="true" outlineLevel="0" collapsed="false">
      <c r="B185" s="33"/>
      <c r="C185" s="29"/>
    </row>
    <row r="186" customFormat="false" ht="18.75" hidden="false" customHeight="true" outlineLevel="0" collapsed="false">
      <c r="B186" s="33"/>
      <c r="C186" s="29"/>
    </row>
    <row r="187" customFormat="false" ht="18.75" hidden="false" customHeight="true" outlineLevel="0" collapsed="false">
      <c r="B187" s="33"/>
      <c r="C187" s="29"/>
    </row>
    <row r="188" customFormat="false" ht="18.75" hidden="false" customHeight="true" outlineLevel="0" collapsed="false">
      <c r="B188" s="33"/>
      <c r="C188" s="29"/>
    </row>
    <row r="189" customFormat="false" ht="18.75" hidden="false" customHeight="true" outlineLevel="0" collapsed="false">
      <c r="B189" s="33"/>
      <c r="C189" s="29"/>
    </row>
    <row r="190" customFormat="false" ht="18.75" hidden="false" customHeight="true" outlineLevel="0" collapsed="false">
      <c r="B190" s="33"/>
      <c r="C190" s="29"/>
    </row>
    <row r="191" customFormat="false" ht="18.75" hidden="false" customHeight="true" outlineLevel="0" collapsed="false">
      <c r="B191" s="33"/>
      <c r="C191" s="29"/>
    </row>
    <row r="192" customFormat="false" ht="18.75" hidden="false" customHeight="true" outlineLevel="0" collapsed="false">
      <c r="B192" s="33"/>
      <c r="C192" s="29"/>
    </row>
    <row r="193" customFormat="false" ht="18.75" hidden="false" customHeight="true" outlineLevel="0" collapsed="false">
      <c r="B193" s="33"/>
      <c r="C193" s="29"/>
    </row>
    <row r="194" customFormat="false" ht="18.75" hidden="false" customHeight="true" outlineLevel="0" collapsed="false">
      <c r="B194" s="33"/>
      <c r="C194" s="29"/>
    </row>
    <row r="195" customFormat="false" ht="18.75" hidden="false" customHeight="true" outlineLevel="0" collapsed="false">
      <c r="B195" s="33"/>
      <c r="C195" s="29"/>
    </row>
    <row r="196" customFormat="false" ht="18.75" hidden="false" customHeight="true" outlineLevel="0" collapsed="false">
      <c r="B196" s="33"/>
      <c r="C196" s="29"/>
    </row>
    <row r="197" customFormat="false" ht="18.75" hidden="false" customHeight="true" outlineLevel="0" collapsed="false">
      <c r="B197" s="33"/>
      <c r="C197" s="29"/>
    </row>
    <row r="198" customFormat="false" ht="18.75" hidden="false" customHeight="true" outlineLevel="0" collapsed="false">
      <c r="B198" s="33"/>
      <c r="C198" s="29"/>
    </row>
    <row r="199" customFormat="false" ht="18.75" hidden="false" customHeight="true" outlineLevel="0" collapsed="false">
      <c r="B199" s="33"/>
      <c r="C199" s="29"/>
    </row>
    <row r="200" customFormat="false" ht="18.75" hidden="false" customHeight="true" outlineLevel="0" collapsed="false">
      <c r="B200" s="33"/>
      <c r="C200" s="29"/>
    </row>
    <row r="201" customFormat="false" ht="18.75" hidden="false" customHeight="true" outlineLevel="0" collapsed="false">
      <c r="B201" s="33"/>
      <c r="C201" s="29"/>
    </row>
    <row r="202" customFormat="false" ht="18.75" hidden="false" customHeight="true" outlineLevel="0" collapsed="false">
      <c r="B202" s="33"/>
      <c r="C202" s="29"/>
    </row>
    <row r="203" customFormat="false" ht="18.75" hidden="false" customHeight="true" outlineLevel="0" collapsed="false">
      <c r="B203" s="33"/>
      <c r="C203" s="29"/>
    </row>
    <row r="204" customFormat="false" ht="18.75" hidden="false" customHeight="true" outlineLevel="0" collapsed="false">
      <c r="B204" s="33"/>
      <c r="C204" s="29"/>
    </row>
    <row r="205" customFormat="false" ht="18.75" hidden="false" customHeight="true" outlineLevel="0" collapsed="false">
      <c r="B205" s="33"/>
      <c r="C205" s="29"/>
    </row>
    <row r="206" customFormat="false" ht="18.75" hidden="false" customHeight="true" outlineLevel="0" collapsed="false">
      <c r="B206" s="33"/>
      <c r="C206" s="29"/>
    </row>
    <row r="207" customFormat="false" ht="18.75" hidden="false" customHeight="true" outlineLevel="0" collapsed="false">
      <c r="B207" s="33"/>
      <c r="C207" s="29"/>
    </row>
    <row r="208" customFormat="false" ht="18.75" hidden="false" customHeight="true" outlineLevel="0" collapsed="false">
      <c r="B208" s="33"/>
      <c r="C208" s="29"/>
    </row>
    <row r="209" customFormat="false" ht="18.75" hidden="false" customHeight="true" outlineLevel="0" collapsed="false">
      <c r="B209" s="33"/>
      <c r="C209" s="29"/>
    </row>
    <row r="210" customFormat="false" ht="18.75" hidden="false" customHeight="true" outlineLevel="0" collapsed="false">
      <c r="B210" s="33"/>
      <c r="C210" s="29"/>
    </row>
    <row r="211" customFormat="false" ht="18.75" hidden="false" customHeight="true" outlineLevel="0" collapsed="false">
      <c r="B211" s="33"/>
      <c r="C211" s="29"/>
    </row>
    <row r="212" customFormat="false" ht="18.75" hidden="false" customHeight="true" outlineLevel="0" collapsed="false">
      <c r="B212" s="33"/>
      <c r="C212" s="29"/>
    </row>
    <row r="213" customFormat="false" ht="18.75" hidden="false" customHeight="true" outlineLevel="0" collapsed="false">
      <c r="B213" s="33"/>
      <c r="C213" s="29"/>
    </row>
    <row r="214" customFormat="false" ht="18.75" hidden="false" customHeight="true" outlineLevel="0" collapsed="false">
      <c r="B214" s="33"/>
      <c r="C214" s="29"/>
    </row>
    <row r="215" customFormat="false" ht="18.75" hidden="false" customHeight="true" outlineLevel="0" collapsed="false">
      <c r="B215" s="33"/>
      <c r="C215" s="29"/>
    </row>
    <row r="216" customFormat="false" ht="18.75" hidden="false" customHeight="true" outlineLevel="0" collapsed="false">
      <c r="B216" s="33"/>
      <c r="C216" s="29"/>
    </row>
    <row r="217" customFormat="false" ht="18.75" hidden="false" customHeight="true" outlineLevel="0" collapsed="false">
      <c r="B217" s="33"/>
      <c r="C217" s="29"/>
    </row>
    <row r="218" customFormat="false" ht="18.75" hidden="false" customHeight="true" outlineLevel="0" collapsed="false">
      <c r="B218" s="33"/>
      <c r="C218" s="29"/>
    </row>
    <row r="219" customFormat="false" ht="18.75" hidden="false" customHeight="true" outlineLevel="0" collapsed="false">
      <c r="B219" s="33"/>
      <c r="C219" s="29"/>
    </row>
    <row r="220" customFormat="false" ht="18.75" hidden="false" customHeight="true" outlineLevel="0" collapsed="false">
      <c r="B220" s="33"/>
      <c r="C220" s="29"/>
    </row>
    <row r="221" customFormat="false" ht="18.75" hidden="false" customHeight="true" outlineLevel="0" collapsed="false">
      <c r="B221" s="33"/>
      <c r="C221" s="29"/>
    </row>
    <row r="222" customFormat="false" ht="18.75" hidden="false" customHeight="true" outlineLevel="0" collapsed="false">
      <c r="B222" s="33"/>
      <c r="C222" s="29"/>
    </row>
    <row r="223" customFormat="false" ht="18.75" hidden="false" customHeight="true" outlineLevel="0" collapsed="false">
      <c r="B223" s="33"/>
      <c r="C223" s="29"/>
    </row>
    <row r="224" customFormat="false" ht="18.75" hidden="false" customHeight="true" outlineLevel="0" collapsed="false">
      <c r="B224" s="33"/>
      <c r="C224" s="29"/>
    </row>
    <row r="225" customFormat="false" ht="18.75" hidden="false" customHeight="true" outlineLevel="0" collapsed="false">
      <c r="B225" s="33"/>
      <c r="C225" s="29"/>
    </row>
    <row r="226" customFormat="false" ht="18.75" hidden="false" customHeight="true" outlineLevel="0" collapsed="false">
      <c r="B226" s="33"/>
      <c r="C226" s="29"/>
    </row>
    <row r="227" customFormat="false" ht="18.75" hidden="false" customHeight="true" outlineLevel="0" collapsed="false">
      <c r="B227" s="33"/>
      <c r="C227" s="29"/>
    </row>
    <row r="228" customFormat="false" ht="18.75" hidden="false" customHeight="true" outlineLevel="0" collapsed="false">
      <c r="B228" s="33"/>
      <c r="C228" s="29"/>
    </row>
    <row r="229" customFormat="false" ht="18.75" hidden="false" customHeight="true" outlineLevel="0" collapsed="false">
      <c r="B229" s="33"/>
      <c r="C229" s="29"/>
    </row>
    <row r="230" customFormat="false" ht="18.75" hidden="false" customHeight="true" outlineLevel="0" collapsed="false">
      <c r="B230" s="33"/>
      <c r="C230" s="29"/>
    </row>
    <row r="231" customFormat="false" ht="18.75" hidden="false" customHeight="true" outlineLevel="0" collapsed="false">
      <c r="B231" s="33"/>
      <c r="C231" s="29"/>
    </row>
    <row r="232" customFormat="false" ht="18.75" hidden="false" customHeight="true" outlineLevel="0" collapsed="false">
      <c r="B232" s="33"/>
      <c r="C232" s="29"/>
    </row>
    <row r="233" customFormat="false" ht="18.75" hidden="false" customHeight="true" outlineLevel="0" collapsed="false">
      <c r="B233" s="33"/>
      <c r="C233" s="29"/>
    </row>
    <row r="234" customFormat="false" ht="18.75" hidden="false" customHeight="true" outlineLevel="0" collapsed="false">
      <c r="B234" s="33"/>
      <c r="C234" s="29"/>
    </row>
    <row r="235" customFormat="false" ht="18.75" hidden="false" customHeight="true" outlineLevel="0" collapsed="false">
      <c r="B235" s="33"/>
      <c r="C235" s="29"/>
    </row>
    <row r="236" customFormat="false" ht="18.75" hidden="false" customHeight="true" outlineLevel="0" collapsed="false">
      <c r="B236" s="33"/>
      <c r="C236" s="29"/>
    </row>
    <row r="237" customFormat="false" ht="18.75" hidden="false" customHeight="true" outlineLevel="0" collapsed="false">
      <c r="B237" s="33"/>
      <c r="C237" s="29"/>
    </row>
    <row r="238" customFormat="false" ht="18.75" hidden="false" customHeight="true" outlineLevel="0" collapsed="false">
      <c r="B238" s="33"/>
      <c r="C238" s="29"/>
    </row>
    <row r="239" customFormat="false" ht="18.75" hidden="false" customHeight="true" outlineLevel="0" collapsed="false">
      <c r="B239" s="33"/>
      <c r="C239" s="29"/>
    </row>
    <row r="240" customFormat="false" ht="18.75" hidden="false" customHeight="true" outlineLevel="0" collapsed="false">
      <c r="B240" s="33"/>
      <c r="C240" s="29"/>
    </row>
    <row r="241" customFormat="false" ht="18.75" hidden="false" customHeight="true" outlineLevel="0" collapsed="false">
      <c r="B241" s="33"/>
      <c r="C241" s="29"/>
    </row>
    <row r="242" customFormat="false" ht="18.75" hidden="false" customHeight="true" outlineLevel="0" collapsed="false">
      <c r="B242" s="33"/>
      <c r="C242" s="29"/>
    </row>
    <row r="243" customFormat="false" ht="18.75" hidden="false" customHeight="true" outlineLevel="0" collapsed="false">
      <c r="B243" s="33"/>
      <c r="C243" s="29"/>
    </row>
    <row r="244" customFormat="false" ht="18.75" hidden="false" customHeight="true" outlineLevel="0" collapsed="false">
      <c r="B244" s="33"/>
      <c r="C244" s="29"/>
    </row>
    <row r="245" customFormat="false" ht="18.75" hidden="false" customHeight="true" outlineLevel="0" collapsed="false">
      <c r="B245" s="33"/>
      <c r="C245" s="29"/>
    </row>
    <row r="246" customFormat="false" ht="18.75" hidden="false" customHeight="true" outlineLevel="0" collapsed="false">
      <c r="B246" s="33"/>
      <c r="C246" s="29"/>
    </row>
    <row r="247" customFormat="false" ht="18.75" hidden="false" customHeight="true" outlineLevel="0" collapsed="false">
      <c r="B247" s="33"/>
      <c r="C247" s="29"/>
    </row>
    <row r="248" customFormat="false" ht="18.75" hidden="false" customHeight="true" outlineLevel="0" collapsed="false">
      <c r="B248" s="33"/>
      <c r="C248" s="29"/>
    </row>
    <row r="249" customFormat="false" ht="18.75" hidden="false" customHeight="true" outlineLevel="0" collapsed="false">
      <c r="B249" s="33"/>
      <c r="C249" s="29"/>
    </row>
    <row r="250" customFormat="false" ht="18.75" hidden="false" customHeight="true" outlineLevel="0" collapsed="false">
      <c r="B250" s="33"/>
      <c r="C250" s="29"/>
    </row>
    <row r="251" customFormat="false" ht="18.75" hidden="false" customHeight="true" outlineLevel="0" collapsed="false">
      <c r="B251" s="33"/>
      <c r="C251" s="29"/>
    </row>
    <row r="252" customFormat="false" ht="18.75" hidden="false" customHeight="true" outlineLevel="0" collapsed="false">
      <c r="B252" s="33"/>
      <c r="C252" s="29"/>
    </row>
    <row r="253" customFormat="false" ht="18.75" hidden="false" customHeight="true" outlineLevel="0" collapsed="false">
      <c r="B253" s="33"/>
      <c r="C253" s="29"/>
    </row>
    <row r="254" customFormat="false" ht="18.75" hidden="false" customHeight="true" outlineLevel="0" collapsed="false">
      <c r="B254" s="33"/>
      <c r="C254" s="29"/>
    </row>
    <row r="255" customFormat="false" ht="18.75" hidden="false" customHeight="true" outlineLevel="0" collapsed="false">
      <c r="B255" s="33"/>
      <c r="C255" s="29"/>
    </row>
    <row r="256" customFormat="false" ht="18.75" hidden="false" customHeight="true" outlineLevel="0" collapsed="false">
      <c r="B256" s="33"/>
      <c r="C256" s="29"/>
    </row>
    <row r="257" customFormat="false" ht="18.75" hidden="false" customHeight="true" outlineLevel="0" collapsed="false">
      <c r="B257" s="33"/>
      <c r="C257" s="29"/>
    </row>
    <row r="258" customFormat="false" ht="18.75" hidden="false" customHeight="true" outlineLevel="0" collapsed="false">
      <c r="B258" s="33"/>
      <c r="C258" s="29"/>
    </row>
    <row r="259" customFormat="false" ht="18.75" hidden="false" customHeight="true" outlineLevel="0" collapsed="false">
      <c r="B259" s="33"/>
      <c r="C259" s="29"/>
    </row>
    <row r="260" customFormat="false" ht="18.75" hidden="false" customHeight="true" outlineLevel="0" collapsed="false">
      <c r="B260" s="33"/>
      <c r="C260" s="29"/>
    </row>
    <row r="261" customFormat="false" ht="18.75" hidden="false" customHeight="true" outlineLevel="0" collapsed="false">
      <c r="B261" s="33"/>
      <c r="C261" s="29"/>
    </row>
    <row r="262" customFormat="false" ht="18.75" hidden="false" customHeight="true" outlineLevel="0" collapsed="false">
      <c r="B262" s="33"/>
      <c r="C262" s="29"/>
    </row>
    <row r="263" customFormat="false" ht="18.75" hidden="false" customHeight="true" outlineLevel="0" collapsed="false">
      <c r="B263" s="33"/>
      <c r="C263" s="29"/>
    </row>
    <row r="264" customFormat="false" ht="18.75" hidden="false" customHeight="true" outlineLevel="0" collapsed="false">
      <c r="B264" s="33"/>
      <c r="C264" s="29"/>
    </row>
    <row r="265" customFormat="false" ht="18.75" hidden="false" customHeight="true" outlineLevel="0" collapsed="false">
      <c r="B265" s="33"/>
      <c r="C265" s="29"/>
    </row>
    <row r="266" customFormat="false" ht="18.75" hidden="false" customHeight="true" outlineLevel="0" collapsed="false">
      <c r="B266" s="33"/>
      <c r="C266" s="29"/>
    </row>
    <row r="267" customFormat="false" ht="18.75" hidden="false" customHeight="true" outlineLevel="0" collapsed="false">
      <c r="B267" s="33"/>
      <c r="C267" s="29"/>
    </row>
    <row r="268" customFormat="false" ht="18.75" hidden="false" customHeight="true" outlineLevel="0" collapsed="false">
      <c r="B268" s="33"/>
      <c r="C268" s="29"/>
    </row>
    <row r="269" customFormat="false" ht="18.75" hidden="false" customHeight="true" outlineLevel="0" collapsed="false">
      <c r="B269" s="33"/>
      <c r="C269" s="29"/>
    </row>
    <row r="270" customFormat="false" ht="18.75" hidden="false" customHeight="true" outlineLevel="0" collapsed="false">
      <c r="B270" s="33"/>
      <c r="C270" s="29"/>
    </row>
    <row r="271" customFormat="false" ht="18.75" hidden="false" customHeight="true" outlineLevel="0" collapsed="false">
      <c r="B271" s="33"/>
      <c r="C271" s="29"/>
    </row>
    <row r="272" customFormat="false" ht="18.75" hidden="false" customHeight="true" outlineLevel="0" collapsed="false">
      <c r="B272" s="33"/>
      <c r="C272" s="29"/>
    </row>
    <row r="273" customFormat="false" ht="18.75" hidden="false" customHeight="true" outlineLevel="0" collapsed="false">
      <c r="B273" s="33"/>
      <c r="C273" s="29"/>
    </row>
    <row r="274" customFormat="false" ht="18.75" hidden="false" customHeight="true" outlineLevel="0" collapsed="false">
      <c r="B274" s="33"/>
      <c r="C274" s="29"/>
    </row>
    <row r="275" customFormat="false" ht="18.75" hidden="false" customHeight="true" outlineLevel="0" collapsed="false">
      <c r="B275" s="33"/>
      <c r="C275" s="29"/>
    </row>
    <row r="276" customFormat="false" ht="18.75" hidden="false" customHeight="true" outlineLevel="0" collapsed="false">
      <c r="B276" s="33"/>
      <c r="C276" s="29"/>
    </row>
    <row r="277" customFormat="false" ht="18.75" hidden="false" customHeight="true" outlineLevel="0" collapsed="false">
      <c r="B277" s="33"/>
      <c r="C277" s="29"/>
    </row>
    <row r="278" customFormat="false" ht="18.75" hidden="false" customHeight="true" outlineLevel="0" collapsed="false">
      <c r="B278" s="33"/>
      <c r="C278" s="29"/>
    </row>
    <row r="279" customFormat="false" ht="18.75" hidden="false" customHeight="true" outlineLevel="0" collapsed="false">
      <c r="B279" s="33"/>
      <c r="C279" s="29"/>
    </row>
    <row r="280" customFormat="false" ht="18.75" hidden="false" customHeight="true" outlineLevel="0" collapsed="false">
      <c r="B280" s="33"/>
      <c r="C280" s="29"/>
    </row>
    <row r="281" customFormat="false" ht="18.75" hidden="false" customHeight="true" outlineLevel="0" collapsed="false">
      <c r="B281" s="33"/>
      <c r="C281" s="29"/>
    </row>
    <row r="282" customFormat="false" ht="18.75" hidden="false" customHeight="true" outlineLevel="0" collapsed="false">
      <c r="B282" s="33"/>
      <c r="C282" s="29"/>
    </row>
    <row r="283" customFormat="false" ht="18.75" hidden="false" customHeight="true" outlineLevel="0" collapsed="false">
      <c r="B283" s="33"/>
      <c r="C283" s="29"/>
    </row>
    <row r="284" customFormat="false" ht="18.75" hidden="false" customHeight="true" outlineLevel="0" collapsed="false">
      <c r="B284" s="33"/>
      <c r="C284" s="29"/>
    </row>
    <row r="285" customFormat="false" ht="18.75" hidden="false" customHeight="true" outlineLevel="0" collapsed="false">
      <c r="B285" s="33"/>
      <c r="C285" s="29"/>
    </row>
    <row r="286" customFormat="false" ht="18.75" hidden="false" customHeight="true" outlineLevel="0" collapsed="false">
      <c r="B286" s="33"/>
      <c r="C286" s="29"/>
    </row>
    <row r="287" customFormat="false" ht="18.75" hidden="false" customHeight="true" outlineLevel="0" collapsed="false">
      <c r="B287" s="33"/>
      <c r="C287" s="29"/>
    </row>
    <row r="288" customFormat="false" ht="18.75" hidden="false" customHeight="true" outlineLevel="0" collapsed="false">
      <c r="B288" s="33"/>
      <c r="C288" s="29"/>
    </row>
    <row r="289" customFormat="false" ht="18.75" hidden="false" customHeight="true" outlineLevel="0" collapsed="false">
      <c r="B289" s="33"/>
      <c r="C289" s="29"/>
    </row>
    <row r="290" customFormat="false" ht="18.75" hidden="false" customHeight="true" outlineLevel="0" collapsed="false">
      <c r="B290" s="33"/>
      <c r="C290" s="29"/>
    </row>
    <row r="291" customFormat="false" ht="18.75" hidden="false" customHeight="true" outlineLevel="0" collapsed="false">
      <c r="B291" s="33"/>
      <c r="C291" s="29"/>
    </row>
    <row r="292" customFormat="false" ht="18.75" hidden="false" customHeight="true" outlineLevel="0" collapsed="false">
      <c r="B292" s="33"/>
      <c r="C292" s="29"/>
    </row>
    <row r="293" customFormat="false" ht="18.75" hidden="false" customHeight="true" outlineLevel="0" collapsed="false">
      <c r="B293" s="33"/>
      <c r="C293" s="29"/>
    </row>
    <row r="294" customFormat="false" ht="18.75" hidden="false" customHeight="true" outlineLevel="0" collapsed="false">
      <c r="B294" s="33"/>
      <c r="C294" s="29"/>
    </row>
    <row r="295" customFormat="false" ht="18.75" hidden="false" customHeight="true" outlineLevel="0" collapsed="false">
      <c r="B295" s="33"/>
      <c r="C295" s="29"/>
    </row>
    <row r="296" customFormat="false" ht="18.75" hidden="false" customHeight="true" outlineLevel="0" collapsed="false">
      <c r="B296" s="33"/>
      <c r="C296" s="29"/>
    </row>
    <row r="297" customFormat="false" ht="18.75" hidden="false" customHeight="true" outlineLevel="0" collapsed="false">
      <c r="B297" s="33"/>
      <c r="C297" s="29"/>
    </row>
    <row r="298" customFormat="false" ht="18.75" hidden="false" customHeight="true" outlineLevel="0" collapsed="false">
      <c r="B298" s="33"/>
      <c r="C298" s="29"/>
    </row>
    <row r="299" customFormat="false" ht="18.75" hidden="false" customHeight="true" outlineLevel="0" collapsed="false">
      <c r="B299" s="33"/>
      <c r="C299" s="29"/>
    </row>
    <row r="300" customFormat="false" ht="18.75" hidden="false" customHeight="true" outlineLevel="0" collapsed="false">
      <c r="B300" s="33"/>
      <c r="C300" s="29"/>
    </row>
    <row r="301" customFormat="false" ht="18.75" hidden="false" customHeight="true" outlineLevel="0" collapsed="false">
      <c r="B301" s="33"/>
      <c r="C301" s="29"/>
    </row>
    <row r="302" customFormat="false" ht="18.75" hidden="false" customHeight="true" outlineLevel="0" collapsed="false">
      <c r="B302" s="33"/>
      <c r="C302" s="29"/>
    </row>
    <row r="303" customFormat="false" ht="18.75" hidden="false" customHeight="true" outlineLevel="0" collapsed="false">
      <c r="B303" s="33"/>
      <c r="C303" s="29"/>
    </row>
    <row r="304" customFormat="false" ht="18.75" hidden="false" customHeight="true" outlineLevel="0" collapsed="false">
      <c r="B304" s="33"/>
      <c r="C304" s="29"/>
    </row>
    <row r="305" customFormat="false" ht="18.75" hidden="false" customHeight="true" outlineLevel="0" collapsed="false">
      <c r="B305" s="33"/>
      <c r="C305" s="29"/>
    </row>
    <row r="306" customFormat="false" ht="18.75" hidden="false" customHeight="true" outlineLevel="0" collapsed="false">
      <c r="B306" s="33"/>
      <c r="C306" s="29"/>
    </row>
    <row r="307" customFormat="false" ht="18.75" hidden="false" customHeight="true" outlineLevel="0" collapsed="false">
      <c r="B307" s="33"/>
      <c r="C307" s="29"/>
    </row>
    <row r="308" customFormat="false" ht="18.75" hidden="false" customHeight="true" outlineLevel="0" collapsed="false">
      <c r="B308" s="33"/>
      <c r="C308" s="29"/>
    </row>
    <row r="309" customFormat="false" ht="18.75" hidden="false" customHeight="true" outlineLevel="0" collapsed="false">
      <c r="B309" s="33"/>
      <c r="C309" s="29"/>
    </row>
    <row r="310" customFormat="false" ht="18.75" hidden="false" customHeight="true" outlineLevel="0" collapsed="false">
      <c r="B310" s="33"/>
      <c r="C310" s="29"/>
    </row>
    <row r="311" customFormat="false" ht="18.75" hidden="false" customHeight="true" outlineLevel="0" collapsed="false">
      <c r="B311" s="33"/>
      <c r="C311" s="29"/>
    </row>
    <row r="312" customFormat="false" ht="18.75" hidden="false" customHeight="true" outlineLevel="0" collapsed="false">
      <c r="B312" s="33"/>
      <c r="C312" s="29"/>
    </row>
    <row r="313" customFormat="false" ht="18.75" hidden="false" customHeight="true" outlineLevel="0" collapsed="false">
      <c r="B313" s="33"/>
      <c r="C313" s="29"/>
    </row>
    <row r="314" customFormat="false" ht="18.75" hidden="false" customHeight="true" outlineLevel="0" collapsed="false">
      <c r="B314" s="33"/>
      <c r="C314" s="29"/>
    </row>
    <row r="315" customFormat="false" ht="18.75" hidden="false" customHeight="true" outlineLevel="0" collapsed="false">
      <c r="B315" s="33"/>
      <c r="C315" s="29"/>
    </row>
    <row r="316" customFormat="false" ht="18.75" hidden="false" customHeight="true" outlineLevel="0" collapsed="false">
      <c r="B316" s="33"/>
      <c r="C316" s="29"/>
    </row>
    <row r="317" customFormat="false" ht="18.75" hidden="false" customHeight="true" outlineLevel="0" collapsed="false">
      <c r="B317" s="33"/>
      <c r="C317" s="29"/>
    </row>
    <row r="318" customFormat="false" ht="18.75" hidden="false" customHeight="true" outlineLevel="0" collapsed="false">
      <c r="B318" s="33"/>
      <c r="C318" s="29"/>
    </row>
    <row r="319" customFormat="false" ht="18.75" hidden="false" customHeight="true" outlineLevel="0" collapsed="false">
      <c r="B319" s="33"/>
      <c r="C319" s="29"/>
    </row>
    <row r="320" customFormat="false" ht="18.75" hidden="false" customHeight="true" outlineLevel="0" collapsed="false">
      <c r="B320" s="33"/>
      <c r="C320" s="29"/>
    </row>
    <row r="321" customFormat="false" ht="18.75" hidden="false" customHeight="true" outlineLevel="0" collapsed="false">
      <c r="B321" s="33"/>
      <c r="C321" s="29"/>
    </row>
    <row r="322" customFormat="false" ht="18.75" hidden="false" customHeight="true" outlineLevel="0" collapsed="false">
      <c r="B322" s="33"/>
      <c r="C322" s="29"/>
    </row>
    <row r="323" customFormat="false" ht="18.75" hidden="false" customHeight="true" outlineLevel="0" collapsed="false">
      <c r="B323" s="33"/>
      <c r="C323" s="29"/>
    </row>
    <row r="324" customFormat="false" ht="18.75" hidden="false" customHeight="true" outlineLevel="0" collapsed="false">
      <c r="B324" s="33"/>
      <c r="C324" s="29"/>
    </row>
    <row r="325" customFormat="false" ht="18.75" hidden="false" customHeight="true" outlineLevel="0" collapsed="false">
      <c r="B325" s="33"/>
      <c r="C325" s="29"/>
    </row>
    <row r="326" customFormat="false" ht="18.75" hidden="false" customHeight="true" outlineLevel="0" collapsed="false">
      <c r="B326" s="33"/>
      <c r="C326" s="29"/>
    </row>
    <row r="327" customFormat="false" ht="18.75" hidden="false" customHeight="true" outlineLevel="0" collapsed="false">
      <c r="B327" s="33"/>
      <c r="C327" s="29"/>
    </row>
    <row r="328" customFormat="false" ht="18.75" hidden="false" customHeight="true" outlineLevel="0" collapsed="false">
      <c r="B328" s="33"/>
      <c r="C328" s="29"/>
    </row>
    <row r="329" customFormat="false" ht="18.75" hidden="false" customHeight="true" outlineLevel="0" collapsed="false">
      <c r="B329" s="33"/>
      <c r="C329" s="29"/>
    </row>
    <row r="330" customFormat="false" ht="18.75" hidden="false" customHeight="true" outlineLevel="0" collapsed="false">
      <c r="B330" s="33"/>
      <c r="C330" s="29"/>
    </row>
    <row r="331" customFormat="false" ht="18.75" hidden="false" customHeight="true" outlineLevel="0" collapsed="false">
      <c r="B331" s="33"/>
      <c r="C331" s="29"/>
    </row>
    <row r="332" customFormat="false" ht="18.75" hidden="false" customHeight="true" outlineLevel="0" collapsed="false">
      <c r="B332" s="33"/>
      <c r="C332" s="29"/>
    </row>
    <row r="333" customFormat="false" ht="18.75" hidden="false" customHeight="true" outlineLevel="0" collapsed="false">
      <c r="B333" s="33"/>
      <c r="C333" s="29"/>
    </row>
    <row r="334" customFormat="false" ht="18.75" hidden="false" customHeight="true" outlineLevel="0" collapsed="false">
      <c r="B334" s="33"/>
      <c r="C334" s="29"/>
    </row>
    <row r="335" customFormat="false" ht="18.75" hidden="false" customHeight="true" outlineLevel="0" collapsed="false">
      <c r="B335" s="33"/>
      <c r="C335" s="29"/>
    </row>
    <row r="336" customFormat="false" ht="18.75" hidden="false" customHeight="true" outlineLevel="0" collapsed="false">
      <c r="B336" s="33"/>
      <c r="C336" s="29"/>
    </row>
    <row r="337" customFormat="false" ht="18.75" hidden="false" customHeight="true" outlineLevel="0" collapsed="false">
      <c r="B337" s="33"/>
      <c r="C337" s="29"/>
    </row>
    <row r="338" customFormat="false" ht="18.75" hidden="false" customHeight="true" outlineLevel="0" collapsed="false">
      <c r="B338" s="33"/>
      <c r="C338" s="29"/>
    </row>
    <row r="339" customFormat="false" ht="18.75" hidden="false" customHeight="true" outlineLevel="0" collapsed="false">
      <c r="B339" s="33"/>
      <c r="C339" s="29"/>
    </row>
    <row r="340" customFormat="false" ht="18.75" hidden="false" customHeight="true" outlineLevel="0" collapsed="false">
      <c r="B340" s="33"/>
      <c r="C340" s="29"/>
    </row>
    <row r="341" customFormat="false" ht="18.75" hidden="false" customHeight="true" outlineLevel="0" collapsed="false">
      <c r="B341" s="33"/>
      <c r="C341" s="29"/>
    </row>
    <row r="342" customFormat="false" ht="18.75" hidden="false" customHeight="true" outlineLevel="0" collapsed="false">
      <c r="B342" s="33"/>
      <c r="C342" s="29"/>
    </row>
    <row r="343" customFormat="false" ht="18.75" hidden="false" customHeight="true" outlineLevel="0" collapsed="false">
      <c r="B343" s="33"/>
      <c r="C343" s="29"/>
    </row>
    <row r="344" customFormat="false" ht="18.75" hidden="false" customHeight="true" outlineLevel="0" collapsed="false">
      <c r="B344" s="33"/>
      <c r="C344" s="29"/>
    </row>
    <row r="345" customFormat="false" ht="18.75" hidden="false" customHeight="true" outlineLevel="0" collapsed="false">
      <c r="B345" s="33"/>
      <c r="C345" s="29"/>
    </row>
    <row r="346" customFormat="false" ht="18.75" hidden="false" customHeight="true" outlineLevel="0" collapsed="false">
      <c r="B346" s="33"/>
      <c r="C346" s="29"/>
    </row>
    <row r="347" customFormat="false" ht="18.75" hidden="false" customHeight="true" outlineLevel="0" collapsed="false">
      <c r="B347" s="33"/>
      <c r="C347" s="29"/>
    </row>
    <row r="348" customFormat="false" ht="18.75" hidden="false" customHeight="true" outlineLevel="0" collapsed="false">
      <c r="B348" s="33"/>
      <c r="C348" s="29"/>
    </row>
    <row r="349" customFormat="false" ht="18.75" hidden="false" customHeight="true" outlineLevel="0" collapsed="false">
      <c r="B349" s="33"/>
      <c r="C349" s="29"/>
    </row>
    <row r="350" customFormat="false" ht="18.75" hidden="false" customHeight="true" outlineLevel="0" collapsed="false">
      <c r="B350" s="33"/>
      <c r="C350" s="29"/>
    </row>
    <row r="351" customFormat="false" ht="18.75" hidden="false" customHeight="true" outlineLevel="0" collapsed="false">
      <c r="B351" s="33"/>
      <c r="C351" s="29"/>
    </row>
    <row r="352" customFormat="false" ht="18.75" hidden="false" customHeight="true" outlineLevel="0" collapsed="false">
      <c r="B352" s="33"/>
      <c r="C352" s="29"/>
    </row>
    <row r="353" customFormat="false" ht="18.75" hidden="false" customHeight="true" outlineLevel="0" collapsed="false">
      <c r="B353" s="33"/>
      <c r="C353" s="29"/>
    </row>
    <row r="354" customFormat="false" ht="18.75" hidden="false" customHeight="true" outlineLevel="0" collapsed="false">
      <c r="B354" s="33"/>
      <c r="C354" s="29"/>
    </row>
    <row r="355" customFormat="false" ht="18.75" hidden="false" customHeight="true" outlineLevel="0" collapsed="false">
      <c r="B355" s="33"/>
      <c r="C355" s="29"/>
    </row>
    <row r="356" customFormat="false" ht="18.75" hidden="false" customHeight="true" outlineLevel="0" collapsed="false">
      <c r="B356" s="33"/>
      <c r="C356" s="29"/>
    </row>
    <row r="357" customFormat="false" ht="18.75" hidden="false" customHeight="true" outlineLevel="0" collapsed="false">
      <c r="B357" s="33"/>
      <c r="C357" s="29"/>
    </row>
    <row r="358" customFormat="false" ht="18.75" hidden="false" customHeight="true" outlineLevel="0" collapsed="false">
      <c r="B358" s="33"/>
      <c r="C358" s="29"/>
    </row>
    <row r="359" customFormat="false" ht="18.75" hidden="false" customHeight="true" outlineLevel="0" collapsed="false">
      <c r="B359" s="33"/>
      <c r="C359" s="29"/>
    </row>
    <row r="360" customFormat="false" ht="18.75" hidden="false" customHeight="true" outlineLevel="0" collapsed="false">
      <c r="B360" s="33"/>
      <c r="C360" s="29"/>
    </row>
    <row r="361" customFormat="false" ht="18.75" hidden="false" customHeight="true" outlineLevel="0" collapsed="false">
      <c r="B361" s="33"/>
      <c r="C361" s="29"/>
    </row>
    <row r="362" customFormat="false" ht="18.75" hidden="false" customHeight="true" outlineLevel="0" collapsed="false">
      <c r="B362" s="33"/>
      <c r="C362" s="29"/>
    </row>
    <row r="363" customFormat="false" ht="18.75" hidden="false" customHeight="true" outlineLevel="0" collapsed="false">
      <c r="B363" s="33"/>
      <c r="C363" s="29"/>
    </row>
    <row r="364" customFormat="false" ht="18.75" hidden="false" customHeight="true" outlineLevel="0" collapsed="false">
      <c r="B364" s="33"/>
      <c r="C364" s="29"/>
    </row>
    <row r="365" customFormat="false" ht="18.75" hidden="false" customHeight="true" outlineLevel="0" collapsed="false">
      <c r="B365" s="33"/>
      <c r="C365" s="29"/>
    </row>
    <row r="366" customFormat="false" ht="18.75" hidden="false" customHeight="true" outlineLevel="0" collapsed="false">
      <c r="B366" s="33"/>
      <c r="C366" s="29"/>
    </row>
    <row r="367" customFormat="false" ht="18.75" hidden="false" customHeight="true" outlineLevel="0" collapsed="false">
      <c r="B367" s="33"/>
      <c r="C367" s="29"/>
    </row>
    <row r="368" customFormat="false" ht="18.75" hidden="false" customHeight="true" outlineLevel="0" collapsed="false">
      <c r="B368" s="33"/>
      <c r="C368" s="29"/>
    </row>
    <row r="369" customFormat="false" ht="18.75" hidden="false" customHeight="true" outlineLevel="0" collapsed="false">
      <c r="B369" s="33"/>
      <c r="C369" s="29"/>
    </row>
    <row r="370" customFormat="false" ht="18.75" hidden="false" customHeight="true" outlineLevel="0" collapsed="false">
      <c r="B370" s="33"/>
      <c r="C370" s="29"/>
    </row>
    <row r="371" customFormat="false" ht="18.75" hidden="false" customHeight="true" outlineLevel="0" collapsed="false">
      <c r="B371" s="33"/>
      <c r="C371" s="29"/>
    </row>
    <row r="372" customFormat="false" ht="18.75" hidden="false" customHeight="true" outlineLevel="0" collapsed="false">
      <c r="B372" s="33"/>
      <c r="C372" s="29"/>
    </row>
    <row r="373" customFormat="false" ht="18.75" hidden="false" customHeight="true" outlineLevel="0" collapsed="false">
      <c r="B373" s="33"/>
      <c r="C373" s="29"/>
    </row>
    <row r="374" customFormat="false" ht="18.75" hidden="false" customHeight="true" outlineLevel="0" collapsed="false">
      <c r="B374" s="33"/>
      <c r="C374" s="29"/>
    </row>
    <row r="375" customFormat="false" ht="18.75" hidden="false" customHeight="true" outlineLevel="0" collapsed="false">
      <c r="B375" s="33"/>
      <c r="C375" s="29"/>
    </row>
    <row r="376" customFormat="false" ht="18.75" hidden="false" customHeight="true" outlineLevel="0" collapsed="false">
      <c r="B376" s="33"/>
      <c r="C376" s="29"/>
    </row>
    <row r="377" customFormat="false" ht="18.75" hidden="false" customHeight="true" outlineLevel="0" collapsed="false">
      <c r="B377" s="33"/>
      <c r="C377" s="29"/>
    </row>
    <row r="378" customFormat="false" ht="18.75" hidden="false" customHeight="true" outlineLevel="0" collapsed="false">
      <c r="B378" s="33"/>
      <c r="C378" s="29"/>
    </row>
    <row r="379" customFormat="false" ht="18.75" hidden="false" customHeight="true" outlineLevel="0" collapsed="false">
      <c r="B379" s="33"/>
      <c r="C379" s="29"/>
    </row>
    <row r="380" customFormat="false" ht="18.75" hidden="false" customHeight="true" outlineLevel="0" collapsed="false">
      <c r="B380" s="33"/>
      <c r="C380" s="29"/>
    </row>
    <row r="381" customFormat="false" ht="18.75" hidden="false" customHeight="true" outlineLevel="0" collapsed="false">
      <c r="B381" s="33"/>
      <c r="C381" s="29"/>
    </row>
    <row r="382" customFormat="false" ht="18.75" hidden="false" customHeight="true" outlineLevel="0" collapsed="false">
      <c r="B382" s="33"/>
      <c r="C382" s="29"/>
    </row>
    <row r="383" customFormat="false" ht="18.75" hidden="false" customHeight="true" outlineLevel="0" collapsed="false">
      <c r="B383" s="33"/>
      <c r="C383" s="29"/>
    </row>
    <row r="384" customFormat="false" ht="18.75" hidden="false" customHeight="true" outlineLevel="0" collapsed="false">
      <c r="B384" s="33"/>
      <c r="C384" s="29"/>
    </row>
    <row r="385" customFormat="false" ht="18.75" hidden="false" customHeight="true" outlineLevel="0" collapsed="false">
      <c r="B385" s="33"/>
      <c r="C385" s="29"/>
    </row>
    <row r="386" customFormat="false" ht="18.75" hidden="false" customHeight="true" outlineLevel="0" collapsed="false">
      <c r="B386" s="33"/>
      <c r="C386" s="29"/>
    </row>
    <row r="387" customFormat="false" ht="18.75" hidden="false" customHeight="true" outlineLevel="0" collapsed="false">
      <c r="B387" s="33"/>
      <c r="C387" s="29"/>
    </row>
    <row r="388" customFormat="false" ht="18.75" hidden="false" customHeight="true" outlineLevel="0" collapsed="false">
      <c r="B388" s="33"/>
      <c r="C388" s="29"/>
    </row>
    <row r="389" customFormat="false" ht="18.75" hidden="false" customHeight="true" outlineLevel="0" collapsed="false">
      <c r="B389" s="33"/>
      <c r="C389" s="29"/>
    </row>
    <row r="390" customFormat="false" ht="18.75" hidden="false" customHeight="true" outlineLevel="0" collapsed="false">
      <c r="B390" s="33"/>
      <c r="C390" s="29"/>
    </row>
    <row r="391" customFormat="false" ht="18.75" hidden="false" customHeight="true" outlineLevel="0" collapsed="false">
      <c r="B391" s="33"/>
      <c r="C391" s="29"/>
    </row>
    <row r="392" customFormat="false" ht="18.75" hidden="false" customHeight="true" outlineLevel="0" collapsed="false">
      <c r="B392" s="33"/>
      <c r="C392" s="29"/>
    </row>
    <row r="393" customFormat="false" ht="18.75" hidden="false" customHeight="true" outlineLevel="0" collapsed="false">
      <c r="B393" s="33"/>
      <c r="C393" s="29"/>
    </row>
    <row r="394" customFormat="false" ht="18.75" hidden="false" customHeight="true" outlineLevel="0" collapsed="false">
      <c r="B394" s="33"/>
      <c r="C394" s="29"/>
    </row>
    <row r="395" customFormat="false" ht="18.75" hidden="false" customHeight="true" outlineLevel="0" collapsed="false">
      <c r="B395" s="33"/>
      <c r="C395" s="29"/>
    </row>
    <row r="396" customFormat="false" ht="18.75" hidden="false" customHeight="true" outlineLevel="0" collapsed="false">
      <c r="B396" s="33"/>
      <c r="C396" s="29"/>
    </row>
    <row r="397" customFormat="false" ht="18.75" hidden="false" customHeight="true" outlineLevel="0" collapsed="false">
      <c r="B397" s="33"/>
      <c r="C397" s="29"/>
    </row>
    <row r="398" customFormat="false" ht="18.75" hidden="false" customHeight="true" outlineLevel="0" collapsed="false">
      <c r="B398" s="33"/>
      <c r="C398" s="29"/>
    </row>
    <row r="399" customFormat="false" ht="18.75" hidden="false" customHeight="true" outlineLevel="0" collapsed="false">
      <c r="B399" s="33"/>
      <c r="C399" s="29"/>
    </row>
    <row r="400" customFormat="false" ht="18.75" hidden="false" customHeight="true" outlineLevel="0" collapsed="false">
      <c r="B400" s="33"/>
      <c r="C400" s="29"/>
    </row>
    <row r="401" customFormat="false" ht="18.75" hidden="false" customHeight="true" outlineLevel="0" collapsed="false">
      <c r="B401" s="33"/>
      <c r="C401" s="29"/>
    </row>
    <row r="402" customFormat="false" ht="18.75" hidden="false" customHeight="true" outlineLevel="0" collapsed="false">
      <c r="B402" s="33"/>
      <c r="C402" s="29"/>
    </row>
    <row r="403" customFormat="false" ht="18.75" hidden="false" customHeight="true" outlineLevel="0" collapsed="false">
      <c r="B403" s="33"/>
      <c r="C403" s="29"/>
    </row>
    <row r="404" customFormat="false" ht="18.75" hidden="false" customHeight="true" outlineLevel="0" collapsed="false">
      <c r="B404" s="33"/>
      <c r="C404" s="29"/>
    </row>
    <row r="405" customFormat="false" ht="18.75" hidden="false" customHeight="true" outlineLevel="0" collapsed="false">
      <c r="B405" s="33"/>
      <c r="C405" s="29"/>
    </row>
    <row r="406" customFormat="false" ht="18.75" hidden="false" customHeight="true" outlineLevel="0" collapsed="false">
      <c r="B406" s="33"/>
      <c r="C406" s="29"/>
    </row>
    <row r="407" customFormat="false" ht="18.75" hidden="false" customHeight="true" outlineLevel="0" collapsed="false">
      <c r="B407" s="33"/>
      <c r="C407" s="29"/>
    </row>
    <row r="408" customFormat="false" ht="18.75" hidden="false" customHeight="true" outlineLevel="0" collapsed="false">
      <c r="B408" s="33"/>
      <c r="C408" s="29"/>
    </row>
    <row r="409" customFormat="false" ht="18.75" hidden="false" customHeight="true" outlineLevel="0" collapsed="false">
      <c r="B409" s="33"/>
      <c r="C409" s="29"/>
    </row>
    <row r="410" customFormat="false" ht="18.75" hidden="false" customHeight="true" outlineLevel="0" collapsed="false">
      <c r="B410" s="33"/>
      <c r="C410" s="29"/>
    </row>
    <row r="411" customFormat="false" ht="18.75" hidden="false" customHeight="true" outlineLevel="0" collapsed="false">
      <c r="B411" s="33"/>
      <c r="C411" s="29"/>
    </row>
    <row r="412" customFormat="false" ht="18.75" hidden="false" customHeight="true" outlineLevel="0" collapsed="false">
      <c r="B412" s="33"/>
      <c r="C412" s="29"/>
    </row>
    <row r="413" customFormat="false" ht="18.75" hidden="false" customHeight="true" outlineLevel="0" collapsed="false">
      <c r="B413" s="33"/>
      <c r="C413" s="29"/>
    </row>
    <row r="414" customFormat="false" ht="18.75" hidden="false" customHeight="true" outlineLevel="0" collapsed="false">
      <c r="B414" s="33"/>
      <c r="C414" s="29"/>
    </row>
    <row r="415" customFormat="false" ht="18.75" hidden="false" customHeight="true" outlineLevel="0" collapsed="false">
      <c r="B415" s="33"/>
      <c r="C415" s="29"/>
    </row>
    <row r="416" customFormat="false" ht="18.75" hidden="false" customHeight="true" outlineLevel="0" collapsed="false">
      <c r="B416" s="33"/>
      <c r="C416" s="29"/>
    </row>
    <row r="417" customFormat="false" ht="18.75" hidden="false" customHeight="true" outlineLevel="0" collapsed="false">
      <c r="B417" s="33"/>
      <c r="C417" s="29"/>
    </row>
    <row r="418" customFormat="false" ht="18.75" hidden="false" customHeight="true" outlineLevel="0" collapsed="false">
      <c r="B418" s="33"/>
      <c r="C418" s="29"/>
    </row>
    <row r="419" customFormat="false" ht="18.75" hidden="false" customHeight="true" outlineLevel="0" collapsed="false">
      <c r="B419" s="33"/>
      <c r="C419" s="29"/>
    </row>
    <row r="420" customFormat="false" ht="18.75" hidden="false" customHeight="true" outlineLevel="0" collapsed="false">
      <c r="B420" s="33"/>
      <c r="C420" s="29"/>
    </row>
    <row r="421" customFormat="false" ht="18.75" hidden="false" customHeight="true" outlineLevel="0" collapsed="false">
      <c r="B421" s="33"/>
      <c r="C421" s="29"/>
    </row>
    <row r="422" customFormat="false" ht="18.75" hidden="false" customHeight="true" outlineLevel="0" collapsed="false">
      <c r="B422" s="33"/>
      <c r="C422" s="29"/>
    </row>
    <row r="423" customFormat="false" ht="18.75" hidden="false" customHeight="true" outlineLevel="0" collapsed="false">
      <c r="B423" s="33"/>
      <c r="C423" s="29"/>
    </row>
    <row r="424" customFormat="false" ht="18.75" hidden="false" customHeight="true" outlineLevel="0" collapsed="false">
      <c r="B424" s="33"/>
      <c r="C424" s="29"/>
    </row>
    <row r="425" customFormat="false" ht="18.75" hidden="false" customHeight="true" outlineLevel="0" collapsed="false">
      <c r="B425" s="33"/>
      <c r="C425" s="29"/>
    </row>
    <row r="426" customFormat="false" ht="18.75" hidden="false" customHeight="true" outlineLevel="0" collapsed="false">
      <c r="B426" s="33"/>
      <c r="C426" s="29"/>
    </row>
    <row r="427" customFormat="false" ht="18.75" hidden="false" customHeight="true" outlineLevel="0" collapsed="false">
      <c r="B427" s="33"/>
      <c r="C427" s="29"/>
    </row>
    <row r="428" customFormat="false" ht="18.75" hidden="false" customHeight="true" outlineLevel="0" collapsed="false">
      <c r="B428" s="33"/>
      <c r="C428" s="29"/>
    </row>
    <row r="429" customFormat="false" ht="18.75" hidden="false" customHeight="true" outlineLevel="0" collapsed="false">
      <c r="B429" s="33"/>
      <c r="C429" s="29"/>
    </row>
    <row r="430" customFormat="false" ht="18.75" hidden="false" customHeight="true" outlineLevel="0" collapsed="false">
      <c r="B430" s="33"/>
      <c r="C430" s="29"/>
    </row>
    <row r="431" customFormat="false" ht="18.75" hidden="false" customHeight="true" outlineLevel="0" collapsed="false">
      <c r="B431" s="33"/>
      <c r="C431" s="29"/>
    </row>
    <row r="432" customFormat="false" ht="18.75" hidden="false" customHeight="true" outlineLevel="0" collapsed="false">
      <c r="B432" s="33"/>
      <c r="C432" s="29"/>
    </row>
    <row r="433" customFormat="false" ht="18.75" hidden="false" customHeight="true" outlineLevel="0" collapsed="false">
      <c r="B433" s="33"/>
      <c r="C433" s="29"/>
    </row>
    <row r="434" customFormat="false" ht="18.75" hidden="false" customHeight="true" outlineLevel="0" collapsed="false">
      <c r="B434" s="33"/>
      <c r="C434" s="29"/>
    </row>
    <row r="435" customFormat="false" ht="18.75" hidden="false" customHeight="true" outlineLevel="0" collapsed="false">
      <c r="B435" s="33"/>
      <c r="C435" s="29"/>
    </row>
    <row r="436" customFormat="false" ht="18.75" hidden="false" customHeight="true" outlineLevel="0" collapsed="false">
      <c r="B436" s="33"/>
      <c r="C436" s="29"/>
    </row>
    <row r="437" customFormat="false" ht="18.75" hidden="false" customHeight="true" outlineLevel="0" collapsed="false">
      <c r="B437" s="33"/>
      <c r="C437" s="29"/>
    </row>
    <row r="438" customFormat="false" ht="18.75" hidden="false" customHeight="true" outlineLevel="0" collapsed="false">
      <c r="B438" s="33"/>
      <c r="C438" s="29"/>
    </row>
    <row r="439" customFormat="false" ht="18.75" hidden="false" customHeight="true" outlineLevel="0" collapsed="false">
      <c r="B439" s="33"/>
      <c r="C439" s="29"/>
    </row>
    <row r="440" customFormat="false" ht="18.75" hidden="false" customHeight="true" outlineLevel="0" collapsed="false">
      <c r="B440" s="33"/>
      <c r="C440" s="29"/>
    </row>
    <row r="441" customFormat="false" ht="18.75" hidden="false" customHeight="true" outlineLevel="0" collapsed="false">
      <c r="B441" s="33"/>
      <c r="C441" s="29"/>
    </row>
    <row r="442" customFormat="false" ht="18.75" hidden="false" customHeight="true" outlineLevel="0" collapsed="false">
      <c r="B442" s="33"/>
      <c r="C442" s="29"/>
    </row>
    <row r="443" customFormat="false" ht="18.75" hidden="false" customHeight="true" outlineLevel="0" collapsed="false">
      <c r="B443" s="33"/>
      <c r="C443" s="29"/>
    </row>
    <row r="444" customFormat="false" ht="18.75" hidden="false" customHeight="true" outlineLevel="0" collapsed="false">
      <c r="B444" s="33"/>
      <c r="C444" s="29"/>
    </row>
    <row r="445" customFormat="false" ht="18.75" hidden="false" customHeight="true" outlineLevel="0" collapsed="false">
      <c r="B445" s="33"/>
      <c r="C445" s="29"/>
    </row>
    <row r="446" customFormat="false" ht="18.75" hidden="false" customHeight="true" outlineLevel="0" collapsed="false">
      <c r="B446" s="33"/>
      <c r="C446" s="29"/>
    </row>
    <row r="447" customFormat="false" ht="18.75" hidden="false" customHeight="true" outlineLevel="0" collapsed="false">
      <c r="B447" s="33"/>
      <c r="C447" s="29"/>
    </row>
    <row r="448" customFormat="false" ht="18.75" hidden="false" customHeight="true" outlineLevel="0" collapsed="false">
      <c r="B448" s="33"/>
      <c r="C448" s="29"/>
    </row>
    <row r="449" customFormat="false" ht="18.75" hidden="false" customHeight="true" outlineLevel="0" collapsed="false">
      <c r="B449" s="33"/>
      <c r="C449" s="29"/>
    </row>
    <row r="450" customFormat="false" ht="18.75" hidden="false" customHeight="true" outlineLevel="0" collapsed="false">
      <c r="B450" s="33"/>
      <c r="C450" s="29"/>
    </row>
    <row r="451" customFormat="false" ht="18.75" hidden="false" customHeight="true" outlineLevel="0" collapsed="false">
      <c r="B451" s="33"/>
      <c r="C451" s="29"/>
    </row>
    <row r="452" customFormat="false" ht="18.75" hidden="false" customHeight="true" outlineLevel="0" collapsed="false">
      <c r="B452" s="33"/>
      <c r="C452" s="29"/>
    </row>
    <row r="453" customFormat="false" ht="18.75" hidden="false" customHeight="true" outlineLevel="0" collapsed="false">
      <c r="B453" s="33"/>
      <c r="C453" s="29"/>
    </row>
    <row r="454" customFormat="false" ht="18.75" hidden="false" customHeight="true" outlineLevel="0" collapsed="false">
      <c r="B454" s="33"/>
      <c r="C454" s="29"/>
    </row>
    <row r="455" customFormat="false" ht="18.75" hidden="false" customHeight="true" outlineLevel="0" collapsed="false">
      <c r="B455" s="33"/>
      <c r="C455" s="29"/>
    </row>
    <row r="456" customFormat="false" ht="18.75" hidden="false" customHeight="true" outlineLevel="0" collapsed="false">
      <c r="B456" s="33"/>
      <c r="C456" s="29"/>
    </row>
    <row r="457" customFormat="false" ht="18.75" hidden="false" customHeight="true" outlineLevel="0" collapsed="false">
      <c r="B457" s="33"/>
      <c r="C457" s="29"/>
    </row>
    <row r="458" customFormat="false" ht="18.75" hidden="false" customHeight="true" outlineLevel="0" collapsed="false">
      <c r="B458" s="33"/>
      <c r="C458" s="29"/>
    </row>
    <row r="459" customFormat="false" ht="18.75" hidden="false" customHeight="true" outlineLevel="0" collapsed="false">
      <c r="B459" s="33"/>
      <c r="C459" s="29"/>
    </row>
    <row r="460" customFormat="false" ht="18.75" hidden="false" customHeight="true" outlineLevel="0" collapsed="false">
      <c r="B460" s="33"/>
      <c r="C460" s="29"/>
    </row>
    <row r="461" customFormat="false" ht="18.75" hidden="false" customHeight="true" outlineLevel="0" collapsed="false">
      <c r="B461" s="33"/>
      <c r="C461" s="29"/>
    </row>
    <row r="462" customFormat="false" ht="18.75" hidden="false" customHeight="true" outlineLevel="0" collapsed="false">
      <c r="B462" s="33"/>
      <c r="C462" s="29"/>
    </row>
    <row r="463" customFormat="false" ht="18.75" hidden="false" customHeight="true" outlineLevel="0" collapsed="false">
      <c r="B463" s="33"/>
      <c r="C463" s="29"/>
    </row>
    <row r="464" customFormat="false" ht="18.75" hidden="false" customHeight="true" outlineLevel="0" collapsed="false">
      <c r="B464" s="33"/>
      <c r="C464" s="29"/>
    </row>
    <row r="465" customFormat="false" ht="18.75" hidden="false" customHeight="true" outlineLevel="0" collapsed="false">
      <c r="B465" s="33"/>
      <c r="C465" s="29"/>
    </row>
    <row r="466" customFormat="false" ht="18.75" hidden="false" customHeight="true" outlineLevel="0" collapsed="false">
      <c r="B466" s="33"/>
      <c r="C466" s="29"/>
    </row>
    <row r="467" customFormat="false" ht="18.75" hidden="false" customHeight="true" outlineLevel="0" collapsed="false">
      <c r="B467" s="33"/>
      <c r="C467" s="29"/>
    </row>
    <row r="468" customFormat="false" ht="18.75" hidden="false" customHeight="true" outlineLevel="0" collapsed="false">
      <c r="B468" s="33"/>
      <c r="C468" s="29"/>
    </row>
    <row r="469" customFormat="false" ht="18.75" hidden="false" customHeight="true" outlineLevel="0" collapsed="false">
      <c r="B469" s="33"/>
      <c r="C469" s="29"/>
    </row>
    <row r="470" customFormat="false" ht="18.75" hidden="false" customHeight="true" outlineLevel="0" collapsed="false">
      <c r="B470" s="33"/>
      <c r="C470" s="29"/>
    </row>
    <row r="471" customFormat="false" ht="18.75" hidden="false" customHeight="true" outlineLevel="0" collapsed="false">
      <c r="B471" s="33"/>
      <c r="C471" s="29"/>
    </row>
    <row r="472" customFormat="false" ht="18.75" hidden="false" customHeight="true" outlineLevel="0" collapsed="false">
      <c r="B472" s="33"/>
      <c r="C472" s="29"/>
    </row>
    <row r="473" customFormat="false" ht="18.75" hidden="false" customHeight="true" outlineLevel="0" collapsed="false">
      <c r="B473" s="33"/>
      <c r="C473" s="29"/>
    </row>
    <row r="474" customFormat="false" ht="18.75" hidden="false" customHeight="true" outlineLevel="0" collapsed="false">
      <c r="B474" s="33"/>
      <c r="C474" s="29"/>
    </row>
    <row r="475" customFormat="false" ht="18.75" hidden="false" customHeight="true" outlineLevel="0" collapsed="false">
      <c r="B475" s="33"/>
      <c r="C475" s="29"/>
    </row>
    <row r="476" customFormat="false" ht="18.75" hidden="false" customHeight="true" outlineLevel="0" collapsed="false">
      <c r="B476" s="33"/>
      <c r="C476" s="29"/>
    </row>
    <row r="477" customFormat="false" ht="18.75" hidden="false" customHeight="true" outlineLevel="0" collapsed="false">
      <c r="B477" s="33"/>
      <c r="C477" s="29"/>
    </row>
    <row r="478" customFormat="false" ht="18.75" hidden="false" customHeight="true" outlineLevel="0" collapsed="false">
      <c r="B478" s="33"/>
      <c r="C478" s="29"/>
    </row>
    <row r="479" customFormat="false" ht="18.75" hidden="false" customHeight="true" outlineLevel="0" collapsed="false">
      <c r="B479" s="33"/>
      <c r="C479" s="29"/>
    </row>
    <row r="480" customFormat="false" ht="18.75" hidden="false" customHeight="true" outlineLevel="0" collapsed="false">
      <c r="B480" s="33"/>
      <c r="C480" s="29"/>
    </row>
    <row r="481" customFormat="false" ht="18.75" hidden="false" customHeight="true" outlineLevel="0" collapsed="false">
      <c r="B481" s="33"/>
      <c r="C481" s="29"/>
    </row>
    <row r="482" customFormat="false" ht="18.75" hidden="false" customHeight="true" outlineLevel="0" collapsed="false">
      <c r="B482" s="33"/>
      <c r="C482" s="29"/>
    </row>
    <row r="483" customFormat="false" ht="18.75" hidden="false" customHeight="true" outlineLevel="0" collapsed="false">
      <c r="B483" s="33"/>
      <c r="C483" s="29"/>
    </row>
    <row r="484" customFormat="false" ht="18.75" hidden="false" customHeight="true" outlineLevel="0" collapsed="false">
      <c r="B484" s="33"/>
      <c r="C484" s="29"/>
    </row>
    <row r="485" customFormat="false" ht="18.75" hidden="false" customHeight="true" outlineLevel="0" collapsed="false">
      <c r="B485" s="33"/>
      <c r="C485" s="29"/>
    </row>
    <row r="486" customFormat="false" ht="18.75" hidden="false" customHeight="true" outlineLevel="0" collapsed="false">
      <c r="B486" s="33"/>
      <c r="C486" s="29"/>
    </row>
    <row r="487" customFormat="false" ht="18.75" hidden="false" customHeight="true" outlineLevel="0" collapsed="false">
      <c r="B487" s="33"/>
      <c r="C487" s="29"/>
    </row>
    <row r="488" customFormat="false" ht="18.75" hidden="false" customHeight="true" outlineLevel="0" collapsed="false">
      <c r="B488" s="33"/>
      <c r="C488" s="29"/>
    </row>
    <row r="489" customFormat="false" ht="18.75" hidden="false" customHeight="true" outlineLevel="0" collapsed="false">
      <c r="B489" s="33"/>
      <c r="C489" s="29"/>
    </row>
    <row r="490" customFormat="false" ht="18.75" hidden="false" customHeight="true" outlineLevel="0" collapsed="false">
      <c r="B490" s="33"/>
      <c r="C490" s="29"/>
    </row>
    <row r="491" customFormat="false" ht="18.75" hidden="false" customHeight="true" outlineLevel="0" collapsed="false">
      <c r="B491" s="33"/>
      <c r="C491" s="29"/>
    </row>
    <row r="492" customFormat="false" ht="18.75" hidden="false" customHeight="true" outlineLevel="0" collapsed="false">
      <c r="B492" s="33"/>
      <c r="C492" s="29"/>
    </row>
    <row r="493" customFormat="false" ht="18.75" hidden="false" customHeight="true" outlineLevel="0" collapsed="false">
      <c r="B493" s="33"/>
      <c r="C493" s="29"/>
    </row>
    <row r="494" customFormat="false" ht="18.75" hidden="false" customHeight="true" outlineLevel="0" collapsed="false">
      <c r="B494" s="33"/>
      <c r="C494" s="29"/>
    </row>
    <row r="495" customFormat="false" ht="18.75" hidden="false" customHeight="true" outlineLevel="0" collapsed="false">
      <c r="B495" s="33"/>
      <c r="C495" s="29"/>
    </row>
    <row r="496" customFormat="false" ht="18.75" hidden="false" customHeight="true" outlineLevel="0" collapsed="false">
      <c r="B496" s="33"/>
      <c r="C496" s="29"/>
    </row>
    <row r="497" customFormat="false" ht="18.75" hidden="false" customHeight="true" outlineLevel="0" collapsed="false">
      <c r="B497" s="33"/>
      <c r="C497" s="29"/>
    </row>
    <row r="498" customFormat="false" ht="18.75" hidden="false" customHeight="true" outlineLevel="0" collapsed="false">
      <c r="B498" s="33"/>
      <c r="C498" s="29"/>
    </row>
    <row r="499" customFormat="false" ht="18.75" hidden="false" customHeight="true" outlineLevel="0" collapsed="false">
      <c r="B499" s="33"/>
      <c r="C499" s="29"/>
    </row>
    <row r="500" customFormat="false" ht="18.75" hidden="false" customHeight="true" outlineLevel="0" collapsed="false">
      <c r="B500" s="33"/>
      <c r="C500" s="29"/>
    </row>
    <row r="501" customFormat="false" ht="18.75" hidden="false" customHeight="true" outlineLevel="0" collapsed="false">
      <c r="B501" s="33"/>
      <c r="C501" s="29"/>
    </row>
    <row r="502" customFormat="false" ht="18.75" hidden="false" customHeight="true" outlineLevel="0" collapsed="false">
      <c r="B502" s="33"/>
      <c r="C502" s="29"/>
    </row>
    <row r="503" customFormat="false" ht="18.75" hidden="false" customHeight="true" outlineLevel="0" collapsed="false">
      <c r="B503" s="33"/>
      <c r="C503" s="29"/>
    </row>
    <row r="504" customFormat="false" ht="18.75" hidden="false" customHeight="true" outlineLevel="0" collapsed="false">
      <c r="B504" s="33"/>
      <c r="C504" s="29"/>
    </row>
    <row r="505" customFormat="false" ht="18.75" hidden="false" customHeight="true" outlineLevel="0" collapsed="false">
      <c r="B505" s="33"/>
      <c r="C505" s="29"/>
    </row>
    <row r="506" customFormat="false" ht="18.75" hidden="false" customHeight="true" outlineLevel="0" collapsed="false">
      <c r="B506" s="33"/>
      <c r="C506" s="29"/>
    </row>
    <row r="507" customFormat="false" ht="18.75" hidden="false" customHeight="true" outlineLevel="0" collapsed="false">
      <c r="B507" s="33"/>
      <c r="C507" s="29"/>
    </row>
    <row r="508" customFormat="false" ht="18.75" hidden="false" customHeight="true" outlineLevel="0" collapsed="false">
      <c r="B508" s="33"/>
      <c r="C508" s="29"/>
    </row>
    <row r="509" customFormat="false" ht="18.75" hidden="false" customHeight="true" outlineLevel="0" collapsed="false">
      <c r="B509" s="33"/>
      <c r="C509" s="29"/>
    </row>
    <row r="510" customFormat="false" ht="18.75" hidden="false" customHeight="true" outlineLevel="0" collapsed="false">
      <c r="B510" s="33"/>
      <c r="C510" s="29"/>
    </row>
    <row r="511" customFormat="false" ht="18.75" hidden="false" customHeight="true" outlineLevel="0" collapsed="false">
      <c r="B511" s="33"/>
      <c r="C511" s="29"/>
    </row>
    <row r="512" customFormat="false" ht="18.75" hidden="false" customHeight="true" outlineLevel="0" collapsed="false">
      <c r="B512" s="33"/>
      <c r="C512" s="29"/>
    </row>
    <row r="513" customFormat="false" ht="18.75" hidden="false" customHeight="true" outlineLevel="0" collapsed="false">
      <c r="B513" s="33"/>
      <c r="C513" s="29"/>
    </row>
    <row r="514" customFormat="false" ht="18.75" hidden="false" customHeight="true" outlineLevel="0" collapsed="false">
      <c r="B514" s="33"/>
      <c r="C514" s="29"/>
    </row>
    <row r="515" customFormat="false" ht="18.75" hidden="false" customHeight="true" outlineLevel="0" collapsed="false">
      <c r="B515" s="33"/>
      <c r="C515" s="29"/>
    </row>
    <row r="516" customFormat="false" ht="18.75" hidden="false" customHeight="true" outlineLevel="0" collapsed="false">
      <c r="B516" s="33"/>
      <c r="C516" s="29"/>
    </row>
    <row r="517" customFormat="false" ht="18.75" hidden="false" customHeight="true" outlineLevel="0" collapsed="false">
      <c r="B517" s="33"/>
      <c r="C517" s="29"/>
    </row>
    <row r="518" customFormat="false" ht="18.75" hidden="false" customHeight="true" outlineLevel="0" collapsed="false">
      <c r="B518" s="33"/>
      <c r="C518" s="29"/>
    </row>
    <row r="519" customFormat="false" ht="18.75" hidden="false" customHeight="true" outlineLevel="0" collapsed="false">
      <c r="B519" s="33"/>
      <c r="C519" s="29"/>
    </row>
    <row r="520" customFormat="false" ht="18.75" hidden="false" customHeight="true" outlineLevel="0" collapsed="false">
      <c r="B520" s="33"/>
      <c r="C520" s="29"/>
    </row>
    <row r="521" customFormat="false" ht="18.75" hidden="false" customHeight="true" outlineLevel="0" collapsed="false">
      <c r="B521" s="33"/>
      <c r="C521" s="29"/>
    </row>
    <row r="522" customFormat="false" ht="18.75" hidden="false" customHeight="true" outlineLevel="0" collapsed="false">
      <c r="B522" s="33"/>
      <c r="C522" s="29"/>
    </row>
    <row r="523" customFormat="false" ht="18.75" hidden="false" customHeight="true" outlineLevel="0" collapsed="false">
      <c r="B523" s="33"/>
      <c r="C523" s="29"/>
    </row>
    <row r="524" customFormat="false" ht="18.75" hidden="false" customHeight="true" outlineLevel="0" collapsed="false">
      <c r="B524" s="33"/>
      <c r="C524" s="29"/>
    </row>
    <row r="525" customFormat="false" ht="18.75" hidden="false" customHeight="true" outlineLevel="0" collapsed="false">
      <c r="B525" s="33"/>
      <c r="C525" s="29"/>
    </row>
    <row r="526" customFormat="false" ht="18.75" hidden="false" customHeight="true" outlineLevel="0" collapsed="false">
      <c r="B526" s="33"/>
      <c r="C526" s="29"/>
    </row>
    <row r="527" customFormat="false" ht="18.75" hidden="false" customHeight="true" outlineLevel="0" collapsed="false">
      <c r="B527" s="33"/>
      <c r="C527" s="29"/>
    </row>
    <row r="528" customFormat="false" ht="18.75" hidden="false" customHeight="true" outlineLevel="0" collapsed="false">
      <c r="B528" s="33"/>
      <c r="C528" s="29"/>
    </row>
    <row r="529" customFormat="false" ht="18.75" hidden="false" customHeight="true" outlineLevel="0" collapsed="false">
      <c r="B529" s="33"/>
      <c r="C529" s="29"/>
    </row>
    <row r="530" customFormat="false" ht="18.75" hidden="false" customHeight="true" outlineLevel="0" collapsed="false">
      <c r="B530" s="33"/>
      <c r="C530" s="29"/>
    </row>
    <row r="531" customFormat="false" ht="18.75" hidden="false" customHeight="true" outlineLevel="0" collapsed="false">
      <c r="B531" s="33"/>
      <c r="C531" s="29"/>
    </row>
    <row r="532" customFormat="false" ht="18.75" hidden="false" customHeight="true" outlineLevel="0" collapsed="false">
      <c r="B532" s="33"/>
      <c r="C532" s="29"/>
    </row>
    <row r="533" customFormat="false" ht="18.75" hidden="false" customHeight="true" outlineLevel="0" collapsed="false">
      <c r="B533" s="33"/>
      <c r="C533" s="29"/>
    </row>
    <row r="534" customFormat="false" ht="18.75" hidden="false" customHeight="true" outlineLevel="0" collapsed="false">
      <c r="B534" s="33"/>
      <c r="C534" s="29"/>
    </row>
    <row r="535" customFormat="false" ht="18.75" hidden="false" customHeight="true" outlineLevel="0" collapsed="false">
      <c r="B535" s="33"/>
      <c r="C535" s="29"/>
    </row>
    <row r="536" customFormat="false" ht="18.75" hidden="false" customHeight="true" outlineLevel="0" collapsed="false">
      <c r="B536" s="33"/>
      <c r="C536" s="29"/>
    </row>
    <row r="537" customFormat="false" ht="18.75" hidden="false" customHeight="true" outlineLevel="0" collapsed="false">
      <c r="B537" s="33"/>
      <c r="C537" s="29"/>
    </row>
    <row r="538" customFormat="false" ht="18.75" hidden="false" customHeight="true" outlineLevel="0" collapsed="false">
      <c r="B538" s="33"/>
      <c r="C538" s="29"/>
    </row>
    <row r="539" customFormat="false" ht="18.75" hidden="false" customHeight="true" outlineLevel="0" collapsed="false">
      <c r="B539" s="33"/>
      <c r="C539" s="29"/>
    </row>
    <row r="540" customFormat="false" ht="18.75" hidden="false" customHeight="true" outlineLevel="0" collapsed="false">
      <c r="B540" s="33"/>
      <c r="C540" s="29"/>
    </row>
    <row r="541" customFormat="false" ht="18.75" hidden="false" customHeight="true" outlineLevel="0" collapsed="false">
      <c r="B541" s="33"/>
      <c r="C541" s="29"/>
    </row>
    <row r="542" customFormat="false" ht="18.75" hidden="false" customHeight="true" outlineLevel="0" collapsed="false">
      <c r="B542" s="33"/>
      <c r="C542" s="29"/>
    </row>
    <row r="543" customFormat="false" ht="18.75" hidden="false" customHeight="true" outlineLevel="0" collapsed="false">
      <c r="B543" s="33"/>
      <c r="C543" s="29"/>
    </row>
    <row r="544" customFormat="false" ht="18.75" hidden="false" customHeight="true" outlineLevel="0" collapsed="false">
      <c r="B544" s="33"/>
      <c r="C544" s="29"/>
    </row>
    <row r="545" customFormat="false" ht="18.75" hidden="false" customHeight="true" outlineLevel="0" collapsed="false">
      <c r="B545" s="33"/>
      <c r="C545" s="29"/>
    </row>
    <row r="546" customFormat="false" ht="18.75" hidden="false" customHeight="true" outlineLevel="0" collapsed="false">
      <c r="B546" s="33"/>
      <c r="C546" s="29"/>
    </row>
    <row r="547" customFormat="false" ht="18.75" hidden="false" customHeight="true" outlineLevel="0" collapsed="false">
      <c r="B547" s="33"/>
      <c r="C547" s="29"/>
    </row>
    <row r="548" customFormat="false" ht="18.75" hidden="false" customHeight="true" outlineLevel="0" collapsed="false">
      <c r="B548" s="33"/>
      <c r="C548" s="29"/>
    </row>
    <row r="549" customFormat="false" ht="18.75" hidden="false" customHeight="true" outlineLevel="0" collapsed="false">
      <c r="B549" s="33"/>
      <c r="C549" s="29"/>
    </row>
    <row r="550" customFormat="false" ht="18.75" hidden="false" customHeight="true" outlineLevel="0" collapsed="false">
      <c r="B550" s="33"/>
      <c r="C550" s="29"/>
    </row>
    <row r="551" customFormat="false" ht="18.75" hidden="false" customHeight="true" outlineLevel="0" collapsed="false">
      <c r="B551" s="33"/>
      <c r="C551" s="29"/>
    </row>
    <row r="552" customFormat="false" ht="18.75" hidden="false" customHeight="true" outlineLevel="0" collapsed="false">
      <c r="B552" s="33"/>
      <c r="C552" s="29"/>
    </row>
    <row r="553" customFormat="false" ht="18.75" hidden="false" customHeight="true" outlineLevel="0" collapsed="false">
      <c r="B553" s="33"/>
      <c r="C553" s="29"/>
    </row>
    <row r="554" customFormat="false" ht="18.75" hidden="false" customHeight="true" outlineLevel="0" collapsed="false">
      <c r="B554" s="33"/>
      <c r="C554" s="29"/>
    </row>
    <row r="555" customFormat="false" ht="18.75" hidden="false" customHeight="true" outlineLevel="0" collapsed="false">
      <c r="B555" s="33"/>
      <c r="C555" s="29"/>
    </row>
    <row r="556" customFormat="false" ht="18.75" hidden="false" customHeight="true" outlineLevel="0" collapsed="false">
      <c r="B556" s="33"/>
      <c r="C556" s="29"/>
    </row>
    <row r="557" customFormat="false" ht="18.75" hidden="false" customHeight="true" outlineLevel="0" collapsed="false">
      <c r="B557" s="33"/>
      <c r="C557" s="29"/>
    </row>
    <row r="558" customFormat="false" ht="18.75" hidden="false" customHeight="true" outlineLevel="0" collapsed="false">
      <c r="B558" s="33"/>
      <c r="C558" s="29"/>
    </row>
    <row r="559" customFormat="false" ht="18.75" hidden="false" customHeight="true" outlineLevel="0" collapsed="false">
      <c r="B559" s="33"/>
      <c r="C559" s="29"/>
    </row>
    <row r="560" customFormat="false" ht="18.75" hidden="false" customHeight="true" outlineLevel="0" collapsed="false">
      <c r="B560" s="33"/>
      <c r="C560" s="29"/>
    </row>
    <row r="561" customFormat="false" ht="18.75" hidden="false" customHeight="true" outlineLevel="0" collapsed="false">
      <c r="B561" s="33"/>
      <c r="C561" s="29"/>
    </row>
    <row r="562" customFormat="false" ht="18.75" hidden="false" customHeight="true" outlineLevel="0" collapsed="false">
      <c r="B562" s="33"/>
      <c r="C562" s="29"/>
    </row>
    <row r="563" customFormat="false" ht="18.75" hidden="false" customHeight="true" outlineLevel="0" collapsed="false">
      <c r="B563" s="33"/>
      <c r="C563" s="29"/>
    </row>
    <row r="564" customFormat="false" ht="18.75" hidden="false" customHeight="true" outlineLevel="0" collapsed="false">
      <c r="B564" s="33"/>
      <c r="C564" s="29"/>
    </row>
    <row r="565" customFormat="false" ht="18.75" hidden="false" customHeight="true" outlineLevel="0" collapsed="false">
      <c r="B565" s="33"/>
      <c r="C565" s="29"/>
    </row>
    <row r="566" customFormat="false" ht="18.75" hidden="false" customHeight="true" outlineLevel="0" collapsed="false">
      <c r="B566" s="33"/>
      <c r="C566" s="29"/>
    </row>
    <row r="567" customFormat="false" ht="18.75" hidden="false" customHeight="true" outlineLevel="0" collapsed="false">
      <c r="B567" s="33"/>
      <c r="C567" s="29"/>
    </row>
    <row r="568" customFormat="false" ht="18.75" hidden="false" customHeight="true" outlineLevel="0" collapsed="false">
      <c r="B568" s="33"/>
      <c r="C568" s="29"/>
    </row>
    <row r="569" customFormat="false" ht="18.75" hidden="false" customHeight="true" outlineLevel="0" collapsed="false">
      <c r="B569" s="33"/>
      <c r="C569" s="29"/>
    </row>
    <row r="570" customFormat="false" ht="18.75" hidden="false" customHeight="true" outlineLevel="0" collapsed="false">
      <c r="B570" s="33"/>
      <c r="C570" s="29"/>
    </row>
    <row r="571" customFormat="false" ht="18.75" hidden="false" customHeight="true" outlineLevel="0" collapsed="false">
      <c r="B571" s="33"/>
      <c r="C571" s="29"/>
    </row>
    <row r="572" customFormat="false" ht="18.75" hidden="false" customHeight="true" outlineLevel="0" collapsed="false">
      <c r="B572" s="33"/>
      <c r="C572" s="29"/>
    </row>
    <row r="573" customFormat="false" ht="18.75" hidden="false" customHeight="true" outlineLevel="0" collapsed="false">
      <c r="B573" s="33"/>
      <c r="C573" s="29"/>
    </row>
    <row r="574" customFormat="false" ht="18.75" hidden="false" customHeight="true" outlineLevel="0" collapsed="false">
      <c r="B574" s="33"/>
      <c r="C574" s="29"/>
    </row>
    <row r="575" customFormat="false" ht="18.75" hidden="false" customHeight="true" outlineLevel="0" collapsed="false">
      <c r="B575" s="33"/>
      <c r="C575" s="29"/>
    </row>
    <row r="576" customFormat="false" ht="18.75" hidden="false" customHeight="true" outlineLevel="0" collapsed="false">
      <c r="B576" s="33"/>
      <c r="C576" s="29"/>
    </row>
    <row r="577" customFormat="false" ht="18.75" hidden="false" customHeight="true" outlineLevel="0" collapsed="false">
      <c r="B577" s="33"/>
      <c r="C577" s="29"/>
    </row>
    <row r="578" customFormat="false" ht="18.75" hidden="false" customHeight="true" outlineLevel="0" collapsed="false">
      <c r="B578" s="33"/>
      <c r="C578" s="29"/>
    </row>
    <row r="579" customFormat="false" ht="18.75" hidden="false" customHeight="true" outlineLevel="0" collapsed="false">
      <c r="B579" s="33"/>
      <c r="C579" s="29"/>
    </row>
    <row r="580" customFormat="false" ht="18.75" hidden="false" customHeight="true" outlineLevel="0" collapsed="false">
      <c r="B580" s="33"/>
      <c r="C580" s="29"/>
    </row>
    <row r="581" customFormat="false" ht="18.75" hidden="false" customHeight="true" outlineLevel="0" collapsed="false">
      <c r="B581" s="33"/>
      <c r="C581" s="29"/>
    </row>
    <row r="582" customFormat="false" ht="18.75" hidden="false" customHeight="true" outlineLevel="0" collapsed="false">
      <c r="B582" s="33"/>
      <c r="C582" s="29"/>
    </row>
    <row r="583" customFormat="false" ht="18.75" hidden="false" customHeight="true" outlineLevel="0" collapsed="false">
      <c r="B583" s="33"/>
      <c r="C583" s="29"/>
    </row>
    <row r="584" customFormat="false" ht="18.75" hidden="false" customHeight="true" outlineLevel="0" collapsed="false">
      <c r="B584" s="33"/>
      <c r="C584" s="29"/>
    </row>
    <row r="585" customFormat="false" ht="18.75" hidden="false" customHeight="true" outlineLevel="0" collapsed="false">
      <c r="B585" s="33"/>
      <c r="C585" s="29"/>
    </row>
    <row r="586" customFormat="false" ht="18.75" hidden="false" customHeight="true" outlineLevel="0" collapsed="false">
      <c r="B586" s="33"/>
      <c r="C586" s="29"/>
    </row>
    <row r="587" customFormat="false" ht="18.75" hidden="false" customHeight="true" outlineLevel="0" collapsed="false">
      <c r="B587" s="33"/>
      <c r="C587" s="29"/>
    </row>
    <row r="588" customFormat="false" ht="18.75" hidden="false" customHeight="true" outlineLevel="0" collapsed="false">
      <c r="B588" s="33"/>
      <c r="C588" s="29"/>
    </row>
    <row r="589" customFormat="false" ht="18.75" hidden="false" customHeight="true" outlineLevel="0" collapsed="false">
      <c r="B589" s="33"/>
      <c r="C589" s="29"/>
    </row>
    <row r="590" customFormat="false" ht="18.75" hidden="false" customHeight="true" outlineLevel="0" collapsed="false">
      <c r="B590" s="33"/>
      <c r="C590" s="29"/>
    </row>
    <row r="591" customFormat="false" ht="18.75" hidden="false" customHeight="true" outlineLevel="0" collapsed="false">
      <c r="B591" s="33"/>
      <c r="C591" s="29"/>
    </row>
    <row r="592" customFormat="false" ht="18.75" hidden="false" customHeight="true" outlineLevel="0" collapsed="false">
      <c r="B592" s="33"/>
      <c r="C592" s="29"/>
    </row>
    <row r="593" customFormat="false" ht="18.75" hidden="false" customHeight="true" outlineLevel="0" collapsed="false">
      <c r="B593" s="33"/>
      <c r="C593" s="29"/>
    </row>
    <row r="594" customFormat="false" ht="18.75" hidden="false" customHeight="true" outlineLevel="0" collapsed="false">
      <c r="B594" s="33"/>
      <c r="C594" s="29"/>
    </row>
    <row r="595" customFormat="false" ht="18.75" hidden="false" customHeight="true" outlineLevel="0" collapsed="false">
      <c r="B595" s="33"/>
      <c r="C595" s="29"/>
    </row>
    <row r="596" customFormat="false" ht="18.75" hidden="false" customHeight="true" outlineLevel="0" collapsed="false">
      <c r="B596" s="33"/>
      <c r="C596" s="29"/>
    </row>
    <row r="597" customFormat="false" ht="18.75" hidden="false" customHeight="true" outlineLevel="0" collapsed="false">
      <c r="B597" s="33"/>
      <c r="C597" s="29"/>
    </row>
    <row r="598" customFormat="false" ht="18.75" hidden="false" customHeight="true" outlineLevel="0" collapsed="false">
      <c r="B598" s="33"/>
      <c r="C598" s="29"/>
    </row>
    <row r="599" customFormat="false" ht="18.75" hidden="false" customHeight="true" outlineLevel="0" collapsed="false">
      <c r="B599" s="33"/>
      <c r="C599" s="29"/>
    </row>
    <row r="600" customFormat="false" ht="18.75" hidden="false" customHeight="true" outlineLevel="0" collapsed="false">
      <c r="B600" s="33"/>
      <c r="C600" s="29"/>
    </row>
    <row r="601" customFormat="false" ht="18.75" hidden="false" customHeight="true" outlineLevel="0" collapsed="false">
      <c r="B601" s="33"/>
      <c r="C601" s="29"/>
    </row>
    <row r="602" customFormat="false" ht="18.75" hidden="false" customHeight="true" outlineLevel="0" collapsed="false">
      <c r="B602" s="33"/>
      <c r="C602" s="29"/>
    </row>
    <row r="603" customFormat="false" ht="18.75" hidden="false" customHeight="true" outlineLevel="0" collapsed="false">
      <c r="B603" s="33"/>
      <c r="C603" s="29"/>
    </row>
    <row r="604" customFormat="false" ht="18.75" hidden="false" customHeight="true" outlineLevel="0" collapsed="false">
      <c r="B604" s="33"/>
      <c r="C604" s="29"/>
    </row>
    <row r="605" customFormat="false" ht="18.75" hidden="false" customHeight="true" outlineLevel="0" collapsed="false">
      <c r="B605" s="33"/>
      <c r="C605" s="29"/>
    </row>
    <row r="606" customFormat="false" ht="18.75" hidden="false" customHeight="true" outlineLevel="0" collapsed="false">
      <c r="B606" s="33"/>
      <c r="C606" s="29"/>
    </row>
    <row r="607" customFormat="false" ht="18.75" hidden="false" customHeight="true" outlineLevel="0" collapsed="false">
      <c r="B607" s="33"/>
      <c r="C607" s="29"/>
    </row>
    <row r="608" customFormat="false" ht="18.75" hidden="false" customHeight="true" outlineLevel="0" collapsed="false">
      <c r="B608" s="33"/>
      <c r="C608" s="29"/>
    </row>
    <row r="609" customFormat="false" ht="18.75" hidden="false" customHeight="true" outlineLevel="0" collapsed="false">
      <c r="B609" s="33"/>
      <c r="C609" s="29"/>
    </row>
    <row r="610" customFormat="false" ht="18.75" hidden="false" customHeight="true" outlineLevel="0" collapsed="false">
      <c r="B610" s="33"/>
      <c r="C610" s="29"/>
    </row>
    <row r="611" customFormat="false" ht="18.75" hidden="false" customHeight="true" outlineLevel="0" collapsed="false">
      <c r="B611" s="33"/>
      <c r="C611" s="29"/>
    </row>
    <row r="612" customFormat="false" ht="18.75" hidden="false" customHeight="true" outlineLevel="0" collapsed="false">
      <c r="B612" s="33"/>
      <c r="C612" s="29"/>
    </row>
    <row r="613" customFormat="false" ht="18.75" hidden="false" customHeight="true" outlineLevel="0" collapsed="false">
      <c r="B613" s="33"/>
      <c r="C613" s="29"/>
    </row>
    <row r="614" customFormat="false" ht="18.75" hidden="false" customHeight="true" outlineLevel="0" collapsed="false">
      <c r="B614" s="33"/>
      <c r="C614" s="29"/>
    </row>
    <row r="615" customFormat="false" ht="18.75" hidden="false" customHeight="true" outlineLevel="0" collapsed="false">
      <c r="B615" s="33"/>
      <c r="C615" s="29"/>
    </row>
    <row r="616" customFormat="false" ht="18.75" hidden="false" customHeight="true" outlineLevel="0" collapsed="false">
      <c r="B616" s="33"/>
      <c r="C616" s="29"/>
    </row>
    <row r="617" customFormat="false" ht="18.75" hidden="false" customHeight="true" outlineLevel="0" collapsed="false">
      <c r="B617" s="33"/>
      <c r="C617" s="29"/>
    </row>
    <row r="618" customFormat="false" ht="18.75" hidden="false" customHeight="true" outlineLevel="0" collapsed="false">
      <c r="B618" s="33"/>
      <c r="C618" s="29"/>
    </row>
    <row r="619" customFormat="false" ht="18.75" hidden="false" customHeight="true" outlineLevel="0" collapsed="false">
      <c r="B619" s="33"/>
      <c r="C619" s="29"/>
    </row>
    <row r="620" customFormat="false" ht="18.75" hidden="false" customHeight="true" outlineLevel="0" collapsed="false">
      <c r="B620" s="33"/>
      <c r="C620" s="29"/>
    </row>
    <row r="621" customFormat="false" ht="18.75" hidden="false" customHeight="true" outlineLevel="0" collapsed="false">
      <c r="B621" s="33"/>
      <c r="C621" s="29"/>
    </row>
    <row r="622" customFormat="false" ht="18.75" hidden="false" customHeight="true" outlineLevel="0" collapsed="false">
      <c r="B622" s="33"/>
      <c r="C622" s="29"/>
    </row>
    <row r="623" customFormat="false" ht="18.75" hidden="false" customHeight="true" outlineLevel="0" collapsed="false">
      <c r="B623" s="33"/>
      <c r="C623" s="29"/>
    </row>
    <row r="624" customFormat="false" ht="18.75" hidden="false" customHeight="true" outlineLevel="0" collapsed="false">
      <c r="B624" s="33"/>
      <c r="C624" s="29"/>
    </row>
    <row r="625" customFormat="false" ht="18.75" hidden="false" customHeight="true" outlineLevel="0" collapsed="false">
      <c r="B625" s="33"/>
      <c r="C625" s="29"/>
    </row>
    <row r="626" customFormat="false" ht="18.75" hidden="false" customHeight="true" outlineLevel="0" collapsed="false">
      <c r="B626" s="33"/>
      <c r="C626" s="29"/>
    </row>
    <row r="627" customFormat="false" ht="18.75" hidden="false" customHeight="true" outlineLevel="0" collapsed="false">
      <c r="B627" s="33"/>
      <c r="C627" s="29"/>
    </row>
    <row r="628" customFormat="false" ht="18.75" hidden="false" customHeight="true" outlineLevel="0" collapsed="false">
      <c r="B628" s="33"/>
      <c r="C628" s="29"/>
    </row>
    <row r="629" customFormat="false" ht="18.75" hidden="false" customHeight="true" outlineLevel="0" collapsed="false">
      <c r="B629" s="33"/>
      <c r="C629" s="29"/>
    </row>
    <row r="630" customFormat="false" ht="18.75" hidden="false" customHeight="true" outlineLevel="0" collapsed="false">
      <c r="B630" s="33"/>
      <c r="C630" s="29"/>
    </row>
    <row r="631" customFormat="false" ht="18.75" hidden="false" customHeight="true" outlineLevel="0" collapsed="false">
      <c r="B631" s="33"/>
      <c r="C631" s="29"/>
    </row>
    <row r="632" customFormat="false" ht="18.75" hidden="false" customHeight="true" outlineLevel="0" collapsed="false">
      <c r="B632" s="33"/>
      <c r="C632" s="29"/>
    </row>
    <row r="633" customFormat="false" ht="18.75" hidden="false" customHeight="true" outlineLevel="0" collapsed="false">
      <c r="B633" s="33"/>
      <c r="C633" s="29"/>
    </row>
    <row r="634" customFormat="false" ht="18.75" hidden="false" customHeight="true" outlineLevel="0" collapsed="false">
      <c r="B634" s="33"/>
      <c r="C634" s="29"/>
    </row>
    <row r="635" customFormat="false" ht="18.75" hidden="false" customHeight="true" outlineLevel="0" collapsed="false">
      <c r="B635" s="33"/>
      <c r="C635" s="29"/>
    </row>
    <row r="636" customFormat="false" ht="18.75" hidden="false" customHeight="true" outlineLevel="0" collapsed="false">
      <c r="B636" s="33"/>
      <c r="C636" s="29"/>
    </row>
    <row r="637" customFormat="false" ht="18.75" hidden="false" customHeight="true" outlineLevel="0" collapsed="false">
      <c r="B637" s="33"/>
      <c r="C637" s="29"/>
    </row>
    <row r="638" customFormat="false" ht="18.75" hidden="false" customHeight="true" outlineLevel="0" collapsed="false">
      <c r="B638" s="33"/>
      <c r="C638" s="29"/>
    </row>
    <row r="639" customFormat="false" ht="18.75" hidden="false" customHeight="true" outlineLevel="0" collapsed="false">
      <c r="B639" s="33"/>
      <c r="C639" s="29"/>
    </row>
    <row r="640" customFormat="false" ht="18.75" hidden="false" customHeight="true" outlineLevel="0" collapsed="false">
      <c r="B640" s="33"/>
      <c r="C640" s="29"/>
    </row>
    <row r="641" customFormat="false" ht="18.75" hidden="false" customHeight="true" outlineLevel="0" collapsed="false">
      <c r="B641" s="33"/>
      <c r="C641" s="29"/>
    </row>
    <row r="642" customFormat="false" ht="18.75" hidden="false" customHeight="true" outlineLevel="0" collapsed="false">
      <c r="B642" s="33"/>
      <c r="C642" s="29"/>
    </row>
    <row r="643" customFormat="false" ht="18.75" hidden="false" customHeight="true" outlineLevel="0" collapsed="false">
      <c r="B643" s="33"/>
      <c r="C643" s="29"/>
    </row>
    <row r="644" customFormat="false" ht="18.75" hidden="false" customHeight="true" outlineLevel="0" collapsed="false">
      <c r="B644" s="33"/>
      <c r="C644" s="29"/>
    </row>
    <row r="645" customFormat="false" ht="18.75" hidden="false" customHeight="true" outlineLevel="0" collapsed="false">
      <c r="B645" s="33"/>
      <c r="C645" s="29"/>
    </row>
    <row r="646" customFormat="false" ht="18.75" hidden="false" customHeight="true" outlineLevel="0" collapsed="false">
      <c r="B646" s="33"/>
      <c r="C646" s="29"/>
    </row>
    <row r="647" customFormat="false" ht="18.75" hidden="false" customHeight="true" outlineLevel="0" collapsed="false">
      <c r="B647" s="33"/>
      <c r="C647" s="29"/>
    </row>
    <row r="648" customFormat="false" ht="18.75" hidden="false" customHeight="true" outlineLevel="0" collapsed="false">
      <c r="B648" s="33"/>
      <c r="C648" s="29"/>
    </row>
    <row r="649" customFormat="false" ht="18.75" hidden="false" customHeight="true" outlineLevel="0" collapsed="false">
      <c r="B649" s="33"/>
      <c r="C649" s="29"/>
    </row>
    <row r="650" customFormat="false" ht="18.75" hidden="false" customHeight="true" outlineLevel="0" collapsed="false">
      <c r="B650" s="33"/>
      <c r="C650" s="29"/>
    </row>
    <row r="651" customFormat="false" ht="18.75" hidden="false" customHeight="true" outlineLevel="0" collapsed="false">
      <c r="B651" s="33"/>
      <c r="C651" s="29"/>
    </row>
    <row r="652" customFormat="false" ht="18.75" hidden="false" customHeight="true" outlineLevel="0" collapsed="false">
      <c r="B652" s="33"/>
      <c r="C652" s="29"/>
    </row>
    <row r="653" customFormat="false" ht="18.75" hidden="false" customHeight="true" outlineLevel="0" collapsed="false">
      <c r="B653" s="33"/>
      <c r="C653" s="29"/>
    </row>
    <row r="654" customFormat="false" ht="18.75" hidden="false" customHeight="true" outlineLevel="0" collapsed="false">
      <c r="B654" s="33"/>
      <c r="C654" s="29"/>
    </row>
    <row r="655" customFormat="false" ht="18.75" hidden="false" customHeight="true" outlineLevel="0" collapsed="false">
      <c r="B655" s="33"/>
      <c r="C655" s="29"/>
    </row>
    <row r="656" customFormat="false" ht="18.75" hidden="false" customHeight="true" outlineLevel="0" collapsed="false">
      <c r="B656" s="33"/>
      <c r="C656" s="29"/>
    </row>
    <row r="657" customFormat="false" ht="18.75" hidden="false" customHeight="true" outlineLevel="0" collapsed="false">
      <c r="B657" s="33"/>
      <c r="C657" s="29"/>
    </row>
    <row r="658" customFormat="false" ht="18.75" hidden="false" customHeight="true" outlineLevel="0" collapsed="false">
      <c r="B658" s="33"/>
      <c r="C658" s="29"/>
    </row>
    <row r="659" customFormat="false" ht="18.75" hidden="false" customHeight="true" outlineLevel="0" collapsed="false">
      <c r="B659" s="33"/>
      <c r="C659" s="29"/>
    </row>
    <row r="660" customFormat="false" ht="18.75" hidden="false" customHeight="true" outlineLevel="0" collapsed="false">
      <c r="B660" s="33"/>
      <c r="C660" s="29"/>
    </row>
    <row r="661" customFormat="false" ht="18.75" hidden="false" customHeight="true" outlineLevel="0" collapsed="false">
      <c r="B661" s="33"/>
      <c r="C661" s="29"/>
    </row>
    <row r="662" customFormat="false" ht="18.75" hidden="false" customHeight="true" outlineLevel="0" collapsed="false">
      <c r="B662" s="33"/>
      <c r="C662" s="29"/>
    </row>
    <row r="663" customFormat="false" ht="18.75" hidden="false" customHeight="true" outlineLevel="0" collapsed="false">
      <c r="B663" s="33"/>
      <c r="C663" s="29"/>
    </row>
    <row r="664" customFormat="false" ht="18.75" hidden="false" customHeight="true" outlineLevel="0" collapsed="false">
      <c r="B664" s="33"/>
      <c r="C664" s="29"/>
    </row>
    <row r="665" customFormat="false" ht="18.75" hidden="false" customHeight="true" outlineLevel="0" collapsed="false">
      <c r="B665" s="33"/>
      <c r="C665" s="29"/>
    </row>
    <row r="666" customFormat="false" ht="18.75" hidden="false" customHeight="true" outlineLevel="0" collapsed="false">
      <c r="B666" s="33"/>
      <c r="C666" s="29"/>
    </row>
    <row r="667" customFormat="false" ht="18.75" hidden="false" customHeight="true" outlineLevel="0" collapsed="false">
      <c r="B667" s="33"/>
      <c r="C667" s="29"/>
    </row>
    <row r="668" customFormat="false" ht="18.75" hidden="false" customHeight="true" outlineLevel="0" collapsed="false">
      <c r="B668" s="33"/>
      <c r="C668" s="29"/>
    </row>
    <row r="669" customFormat="false" ht="18.75" hidden="false" customHeight="true" outlineLevel="0" collapsed="false">
      <c r="B669" s="33"/>
      <c r="C669" s="29"/>
    </row>
    <row r="670" customFormat="false" ht="18.75" hidden="false" customHeight="true" outlineLevel="0" collapsed="false">
      <c r="B670" s="33"/>
      <c r="C670" s="29"/>
    </row>
    <row r="671" customFormat="false" ht="18.75" hidden="false" customHeight="true" outlineLevel="0" collapsed="false">
      <c r="B671" s="33"/>
      <c r="C671" s="29"/>
    </row>
    <row r="672" customFormat="false" ht="18.75" hidden="false" customHeight="true" outlineLevel="0" collapsed="false">
      <c r="B672" s="33"/>
      <c r="C672" s="29"/>
    </row>
    <row r="673" customFormat="false" ht="18.75" hidden="false" customHeight="true" outlineLevel="0" collapsed="false">
      <c r="B673" s="33"/>
      <c r="C673" s="29"/>
    </row>
    <row r="674" customFormat="false" ht="18.75" hidden="false" customHeight="true" outlineLevel="0" collapsed="false">
      <c r="B674" s="33"/>
      <c r="C674" s="29"/>
    </row>
    <row r="675" customFormat="false" ht="18.75" hidden="false" customHeight="true" outlineLevel="0" collapsed="false">
      <c r="B675" s="33"/>
      <c r="C675" s="29"/>
    </row>
    <row r="676" customFormat="false" ht="18.75" hidden="false" customHeight="true" outlineLevel="0" collapsed="false">
      <c r="B676" s="33"/>
      <c r="C676" s="29"/>
    </row>
    <row r="677" customFormat="false" ht="18.75" hidden="false" customHeight="true" outlineLevel="0" collapsed="false">
      <c r="B677" s="33"/>
      <c r="C677" s="29"/>
    </row>
    <row r="678" customFormat="false" ht="18.75" hidden="false" customHeight="true" outlineLevel="0" collapsed="false">
      <c r="B678" s="33"/>
      <c r="C678" s="29"/>
    </row>
    <row r="679" customFormat="false" ht="18.75" hidden="false" customHeight="true" outlineLevel="0" collapsed="false">
      <c r="B679" s="33"/>
      <c r="C679" s="29"/>
    </row>
    <row r="680" customFormat="false" ht="18.75" hidden="false" customHeight="true" outlineLevel="0" collapsed="false">
      <c r="B680" s="33"/>
      <c r="C680" s="29"/>
    </row>
    <row r="681" customFormat="false" ht="18.75" hidden="false" customHeight="true" outlineLevel="0" collapsed="false">
      <c r="B681" s="33"/>
      <c r="C681" s="29"/>
    </row>
    <row r="682" customFormat="false" ht="18.75" hidden="false" customHeight="true" outlineLevel="0" collapsed="false">
      <c r="B682" s="33"/>
      <c r="C682" s="29"/>
    </row>
    <row r="683" customFormat="false" ht="18.75" hidden="false" customHeight="true" outlineLevel="0" collapsed="false">
      <c r="B683" s="33"/>
      <c r="C683" s="29"/>
    </row>
    <row r="684" customFormat="false" ht="18.75" hidden="false" customHeight="true" outlineLevel="0" collapsed="false">
      <c r="B684" s="33"/>
      <c r="C684" s="29"/>
    </row>
    <row r="685" customFormat="false" ht="18.75" hidden="false" customHeight="true" outlineLevel="0" collapsed="false">
      <c r="B685" s="33"/>
      <c r="C685" s="29"/>
    </row>
    <row r="686" customFormat="false" ht="18.75" hidden="false" customHeight="true" outlineLevel="0" collapsed="false">
      <c r="B686" s="33"/>
      <c r="C686" s="29"/>
    </row>
    <row r="687" customFormat="false" ht="18.75" hidden="false" customHeight="true" outlineLevel="0" collapsed="false">
      <c r="B687" s="33"/>
      <c r="C687" s="29"/>
    </row>
    <row r="688" customFormat="false" ht="18.75" hidden="false" customHeight="true" outlineLevel="0" collapsed="false">
      <c r="B688" s="33"/>
      <c r="C688" s="29"/>
    </row>
    <row r="689" customFormat="false" ht="18.75" hidden="false" customHeight="true" outlineLevel="0" collapsed="false">
      <c r="B689" s="33"/>
      <c r="C689" s="29"/>
    </row>
    <row r="690" customFormat="false" ht="18.75" hidden="false" customHeight="true" outlineLevel="0" collapsed="false">
      <c r="B690" s="33"/>
      <c r="C690" s="29"/>
    </row>
    <row r="691" customFormat="false" ht="18.75" hidden="false" customHeight="true" outlineLevel="0" collapsed="false">
      <c r="B691" s="33"/>
      <c r="C691" s="29"/>
    </row>
    <row r="692" customFormat="false" ht="18.75" hidden="false" customHeight="true" outlineLevel="0" collapsed="false">
      <c r="B692" s="33"/>
      <c r="C692" s="29"/>
    </row>
    <row r="693" customFormat="false" ht="18.75" hidden="false" customHeight="true" outlineLevel="0" collapsed="false">
      <c r="B693" s="33"/>
      <c r="C693" s="29"/>
    </row>
    <row r="694" customFormat="false" ht="18.75" hidden="false" customHeight="true" outlineLevel="0" collapsed="false">
      <c r="B694" s="33"/>
      <c r="C694" s="29"/>
    </row>
    <row r="695" customFormat="false" ht="18.75" hidden="false" customHeight="true" outlineLevel="0" collapsed="false">
      <c r="B695" s="33"/>
      <c r="C695" s="29"/>
    </row>
    <row r="696" customFormat="false" ht="18.75" hidden="false" customHeight="true" outlineLevel="0" collapsed="false">
      <c r="B696" s="33"/>
      <c r="C696" s="29"/>
    </row>
    <row r="697" customFormat="false" ht="18.75" hidden="false" customHeight="true" outlineLevel="0" collapsed="false">
      <c r="B697" s="33"/>
      <c r="C697" s="29"/>
    </row>
    <row r="698" customFormat="false" ht="18.75" hidden="false" customHeight="true" outlineLevel="0" collapsed="false">
      <c r="B698" s="33"/>
      <c r="C698" s="29"/>
    </row>
    <row r="699" customFormat="false" ht="18.75" hidden="false" customHeight="true" outlineLevel="0" collapsed="false">
      <c r="B699" s="33"/>
      <c r="C699" s="29"/>
    </row>
    <row r="700" customFormat="false" ht="18.75" hidden="false" customHeight="true" outlineLevel="0" collapsed="false">
      <c r="B700" s="33"/>
      <c r="C700" s="29"/>
    </row>
    <row r="701" customFormat="false" ht="18.75" hidden="false" customHeight="true" outlineLevel="0" collapsed="false">
      <c r="B701" s="33"/>
      <c r="C701" s="29"/>
    </row>
    <row r="702" customFormat="false" ht="18.75" hidden="false" customHeight="true" outlineLevel="0" collapsed="false">
      <c r="B702" s="33"/>
      <c r="C702" s="29"/>
    </row>
    <row r="703" customFormat="false" ht="18.75" hidden="false" customHeight="true" outlineLevel="0" collapsed="false">
      <c r="B703" s="33"/>
      <c r="C703" s="29"/>
    </row>
    <row r="704" customFormat="false" ht="18.75" hidden="false" customHeight="true" outlineLevel="0" collapsed="false">
      <c r="B704" s="33"/>
      <c r="C704" s="29"/>
    </row>
    <row r="705" customFormat="false" ht="18.75" hidden="false" customHeight="true" outlineLevel="0" collapsed="false">
      <c r="B705" s="33"/>
      <c r="C705" s="29"/>
    </row>
    <row r="706" customFormat="false" ht="18.75" hidden="false" customHeight="true" outlineLevel="0" collapsed="false">
      <c r="B706" s="33"/>
      <c r="C706" s="29"/>
    </row>
    <row r="707" customFormat="false" ht="18.75" hidden="false" customHeight="true" outlineLevel="0" collapsed="false">
      <c r="B707" s="33"/>
      <c r="C707" s="29"/>
    </row>
    <row r="708" customFormat="false" ht="18.75" hidden="false" customHeight="true" outlineLevel="0" collapsed="false">
      <c r="B708" s="33"/>
      <c r="C708" s="29"/>
    </row>
    <row r="709" customFormat="false" ht="18.75" hidden="false" customHeight="true" outlineLevel="0" collapsed="false">
      <c r="B709" s="33"/>
      <c r="C709" s="29"/>
    </row>
    <row r="710" customFormat="false" ht="18.75" hidden="false" customHeight="true" outlineLevel="0" collapsed="false">
      <c r="B710" s="33"/>
      <c r="C710" s="29"/>
    </row>
    <row r="711" customFormat="false" ht="18.75" hidden="false" customHeight="true" outlineLevel="0" collapsed="false">
      <c r="B711" s="33"/>
      <c r="C711" s="29"/>
    </row>
    <row r="712" customFormat="false" ht="18.75" hidden="false" customHeight="true" outlineLevel="0" collapsed="false">
      <c r="B712" s="33"/>
      <c r="C712" s="29"/>
    </row>
    <row r="713" customFormat="false" ht="18.75" hidden="false" customHeight="true" outlineLevel="0" collapsed="false">
      <c r="B713" s="33"/>
      <c r="C713" s="29"/>
    </row>
    <row r="714" customFormat="false" ht="18.75" hidden="false" customHeight="true" outlineLevel="0" collapsed="false">
      <c r="B714" s="33"/>
      <c r="C714" s="29"/>
    </row>
    <row r="715" customFormat="false" ht="18.75" hidden="false" customHeight="true" outlineLevel="0" collapsed="false">
      <c r="B715" s="33"/>
      <c r="C715" s="29"/>
    </row>
    <row r="716" customFormat="false" ht="18.75" hidden="false" customHeight="true" outlineLevel="0" collapsed="false">
      <c r="B716" s="33"/>
      <c r="C716" s="29"/>
    </row>
    <row r="717" customFormat="false" ht="18.75" hidden="false" customHeight="true" outlineLevel="0" collapsed="false">
      <c r="B717" s="33"/>
      <c r="C717" s="29"/>
    </row>
    <row r="718" customFormat="false" ht="18.75" hidden="false" customHeight="true" outlineLevel="0" collapsed="false">
      <c r="B718" s="33"/>
      <c r="C718" s="29"/>
    </row>
    <row r="719" customFormat="false" ht="18.75" hidden="false" customHeight="true" outlineLevel="0" collapsed="false">
      <c r="B719" s="33"/>
      <c r="C719" s="29"/>
    </row>
    <row r="720" customFormat="false" ht="18.75" hidden="false" customHeight="true" outlineLevel="0" collapsed="false">
      <c r="B720" s="33"/>
      <c r="C720" s="29"/>
    </row>
    <row r="721" customFormat="false" ht="18.75" hidden="false" customHeight="true" outlineLevel="0" collapsed="false">
      <c r="B721" s="33"/>
      <c r="C721" s="29"/>
    </row>
    <row r="722" customFormat="false" ht="18.75" hidden="false" customHeight="true" outlineLevel="0" collapsed="false">
      <c r="B722" s="33"/>
      <c r="C722" s="29"/>
    </row>
    <row r="723" customFormat="false" ht="18.75" hidden="false" customHeight="true" outlineLevel="0" collapsed="false">
      <c r="B723" s="33"/>
      <c r="C723" s="29"/>
    </row>
    <row r="724" customFormat="false" ht="18.75" hidden="false" customHeight="true" outlineLevel="0" collapsed="false">
      <c r="B724" s="33"/>
      <c r="C724" s="29"/>
    </row>
    <row r="725" customFormat="false" ht="18.75" hidden="false" customHeight="true" outlineLevel="0" collapsed="false">
      <c r="B725" s="33"/>
      <c r="C725" s="29"/>
    </row>
    <row r="726" customFormat="false" ht="18.75" hidden="false" customHeight="true" outlineLevel="0" collapsed="false">
      <c r="B726" s="33"/>
      <c r="C726" s="29"/>
    </row>
    <row r="727" customFormat="false" ht="18.75" hidden="false" customHeight="true" outlineLevel="0" collapsed="false">
      <c r="B727" s="33"/>
      <c r="C727" s="29"/>
    </row>
    <row r="728" customFormat="false" ht="18.75" hidden="false" customHeight="true" outlineLevel="0" collapsed="false">
      <c r="B728" s="33"/>
      <c r="C728" s="29"/>
    </row>
    <row r="729" customFormat="false" ht="18.75" hidden="false" customHeight="true" outlineLevel="0" collapsed="false">
      <c r="B729" s="33"/>
      <c r="C729" s="29"/>
    </row>
    <row r="730" customFormat="false" ht="18.75" hidden="false" customHeight="true" outlineLevel="0" collapsed="false">
      <c r="B730" s="33"/>
      <c r="C730" s="29"/>
    </row>
    <row r="731" customFormat="false" ht="18.75" hidden="false" customHeight="true" outlineLevel="0" collapsed="false">
      <c r="B731" s="33"/>
      <c r="C731" s="29"/>
    </row>
    <row r="732" customFormat="false" ht="18.75" hidden="false" customHeight="true" outlineLevel="0" collapsed="false">
      <c r="B732" s="33"/>
      <c r="C732" s="29"/>
    </row>
    <row r="733" customFormat="false" ht="18.75" hidden="false" customHeight="true" outlineLevel="0" collapsed="false">
      <c r="B733" s="33"/>
      <c r="C733" s="29"/>
    </row>
    <row r="734" customFormat="false" ht="18.75" hidden="false" customHeight="true" outlineLevel="0" collapsed="false">
      <c r="B734" s="33"/>
      <c r="C734" s="29"/>
    </row>
    <row r="735" customFormat="false" ht="18.75" hidden="false" customHeight="true" outlineLevel="0" collapsed="false">
      <c r="B735" s="33"/>
      <c r="C735" s="29"/>
    </row>
    <row r="736" customFormat="false" ht="18.75" hidden="false" customHeight="true" outlineLevel="0" collapsed="false">
      <c r="B736" s="33"/>
      <c r="C736" s="29"/>
    </row>
    <row r="737" customFormat="false" ht="18.75" hidden="false" customHeight="true" outlineLevel="0" collapsed="false">
      <c r="B737" s="33"/>
      <c r="C737" s="29"/>
    </row>
    <row r="738" customFormat="false" ht="18.75" hidden="false" customHeight="true" outlineLevel="0" collapsed="false">
      <c r="B738" s="33"/>
      <c r="C738" s="29"/>
    </row>
    <row r="739" customFormat="false" ht="18.75" hidden="false" customHeight="true" outlineLevel="0" collapsed="false">
      <c r="B739" s="33"/>
      <c r="C739" s="29"/>
    </row>
    <row r="740" customFormat="false" ht="18.75" hidden="false" customHeight="true" outlineLevel="0" collapsed="false">
      <c r="B740" s="33"/>
      <c r="C740" s="29"/>
    </row>
    <row r="741" customFormat="false" ht="18.75" hidden="false" customHeight="true" outlineLevel="0" collapsed="false">
      <c r="B741" s="33"/>
      <c r="C741" s="29"/>
    </row>
    <row r="742" customFormat="false" ht="18.75" hidden="false" customHeight="true" outlineLevel="0" collapsed="false">
      <c r="B742" s="33"/>
      <c r="C742" s="29"/>
    </row>
    <row r="743" customFormat="false" ht="18.75" hidden="false" customHeight="true" outlineLevel="0" collapsed="false">
      <c r="B743" s="33"/>
      <c r="C743" s="29"/>
    </row>
    <row r="744" customFormat="false" ht="18.75" hidden="false" customHeight="true" outlineLevel="0" collapsed="false">
      <c r="B744" s="33"/>
      <c r="C744" s="29"/>
    </row>
    <row r="745" customFormat="false" ht="18.75" hidden="false" customHeight="true" outlineLevel="0" collapsed="false">
      <c r="B745" s="33"/>
      <c r="C745" s="29"/>
    </row>
    <row r="746" customFormat="false" ht="18.75" hidden="false" customHeight="true" outlineLevel="0" collapsed="false">
      <c r="B746" s="33"/>
      <c r="C746" s="29"/>
    </row>
    <row r="747" customFormat="false" ht="18.75" hidden="false" customHeight="true" outlineLevel="0" collapsed="false">
      <c r="B747" s="33"/>
      <c r="C747" s="29"/>
    </row>
    <row r="748" customFormat="false" ht="18.75" hidden="false" customHeight="true" outlineLevel="0" collapsed="false">
      <c r="B748" s="33"/>
      <c r="C748" s="29"/>
    </row>
    <row r="749" customFormat="false" ht="18.75" hidden="false" customHeight="true" outlineLevel="0" collapsed="false">
      <c r="B749" s="33"/>
      <c r="C749" s="29"/>
    </row>
    <row r="750" customFormat="false" ht="18.75" hidden="false" customHeight="true" outlineLevel="0" collapsed="false">
      <c r="B750" s="33"/>
      <c r="C750" s="29"/>
    </row>
    <row r="751" customFormat="false" ht="18.75" hidden="false" customHeight="true" outlineLevel="0" collapsed="false">
      <c r="B751" s="33"/>
      <c r="C751" s="29"/>
    </row>
    <row r="752" customFormat="false" ht="18.75" hidden="false" customHeight="true" outlineLevel="0" collapsed="false">
      <c r="B752" s="33"/>
      <c r="C752" s="29"/>
    </row>
    <row r="753" customFormat="false" ht="18.75" hidden="false" customHeight="true" outlineLevel="0" collapsed="false">
      <c r="B753" s="33"/>
      <c r="C753" s="29"/>
    </row>
    <row r="754" customFormat="false" ht="18.75" hidden="false" customHeight="true" outlineLevel="0" collapsed="false">
      <c r="B754" s="33"/>
      <c r="C754" s="29"/>
    </row>
    <row r="755" customFormat="false" ht="18.75" hidden="false" customHeight="true" outlineLevel="0" collapsed="false">
      <c r="B755" s="33"/>
      <c r="C755" s="29"/>
    </row>
    <row r="756" customFormat="false" ht="18.75" hidden="false" customHeight="true" outlineLevel="0" collapsed="false">
      <c r="B756" s="33"/>
      <c r="C756" s="29"/>
    </row>
    <row r="757" customFormat="false" ht="18.75" hidden="false" customHeight="true" outlineLevel="0" collapsed="false">
      <c r="B757" s="33"/>
      <c r="C757" s="29"/>
    </row>
    <row r="758" customFormat="false" ht="18.75" hidden="false" customHeight="true" outlineLevel="0" collapsed="false">
      <c r="B758" s="33"/>
      <c r="C758" s="29"/>
    </row>
    <row r="759" customFormat="false" ht="18.75" hidden="false" customHeight="true" outlineLevel="0" collapsed="false">
      <c r="B759" s="33"/>
      <c r="C759" s="29"/>
    </row>
    <row r="760" customFormat="false" ht="18.75" hidden="false" customHeight="true" outlineLevel="0" collapsed="false">
      <c r="B760" s="33"/>
      <c r="C760" s="29"/>
    </row>
    <row r="761" customFormat="false" ht="18.75" hidden="false" customHeight="true" outlineLevel="0" collapsed="false">
      <c r="B761" s="33"/>
      <c r="C761" s="29"/>
    </row>
    <row r="762" customFormat="false" ht="18.75" hidden="false" customHeight="true" outlineLevel="0" collapsed="false">
      <c r="B762" s="33"/>
      <c r="C762" s="29"/>
    </row>
    <row r="763" customFormat="false" ht="18.75" hidden="false" customHeight="true" outlineLevel="0" collapsed="false">
      <c r="B763" s="33"/>
      <c r="C763" s="29"/>
    </row>
    <row r="764" customFormat="false" ht="18.75" hidden="false" customHeight="true" outlineLevel="0" collapsed="false">
      <c r="B764" s="33"/>
      <c r="C764" s="29"/>
    </row>
    <row r="765" customFormat="false" ht="18.75" hidden="false" customHeight="true" outlineLevel="0" collapsed="false">
      <c r="B765" s="33"/>
      <c r="C765" s="29"/>
    </row>
    <row r="766" customFormat="false" ht="18.75" hidden="false" customHeight="true" outlineLevel="0" collapsed="false">
      <c r="B766" s="33"/>
      <c r="C766" s="29"/>
    </row>
    <row r="767" customFormat="false" ht="18.75" hidden="false" customHeight="true" outlineLevel="0" collapsed="false">
      <c r="B767" s="33"/>
      <c r="C767" s="29"/>
    </row>
    <row r="768" customFormat="false" ht="18.75" hidden="false" customHeight="true" outlineLevel="0" collapsed="false">
      <c r="B768" s="33"/>
      <c r="C768" s="29"/>
    </row>
    <row r="769" customFormat="false" ht="18.75" hidden="false" customHeight="true" outlineLevel="0" collapsed="false">
      <c r="B769" s="33"/>
      <c r="C769" s="29"/>
    </row>
    <row r="770" customFormat="false" ht="18.75" hidden="false" customHeight="true" outlineLevel="0" collapsed="false">
      <c r="B770" s="33"/>
      <c r="C770" s="29"/>
    </row>
    <row r="771" customFormat="false" ht="18.75" hidden="false" customHeight="true" outlineLevel="0" collapsed="false">
      <c r="B771" s="33"/>
      <c r="C771" s="29"/>
    </row>
    <row r="772" customFormat="false" ht="18.75" hidden="false" customHeight="true" outlineLevel="0" collapsed="false">
      <c r="B772" s="33"/>
      <c r="C772" s="29"/>
    </row>
    <row r="773" customFormat="false" ht="18.75" hidden="false" customHeight="true" outlineLevel="0" collapsed="false">
      <c r="B773" s="33"/>
      <c r="C773" s="29"/>
    </row>
    <row r="774" customFormat="false" ht="18.75" hidden="false" customHeight="true" outlineLevel="0" collapsed="false">
      <c r="B774" s="33"/>
      <c r="C774" s="29"/>
    </row>
    <row r="775" customFormat="false" ht="18.75" hidden="false" customHeight="true" outlineLevel="0" collapsed="false">
      <c r="B775" s="33"/>
      <c r="C775" s="29"/>
    </row>
    <row r="776" customFormat="false" ht="18.75" hidden="false" customHeight="true" outlineLevel="0" collapsed="false">
      <c r="B776" s="33"/>
      <c r="C776" s="29"/>
    </row>
    <row r="777" customFormat="false" ht="18.75" hidden="false" customHeight="true" outlineLevel="0" collapsed="false">
      <c r="B777" s="33"/>
      <c r="C777" s="29"/>
    </row>
    <row r="778" customFormat="false" ht="18.75" hidden="false" customHeight="true" outlineLevel="0" collapsed="false">
      <c r="B778" s="33"/>
      <c r="C778" s="29"/>
    </row>
    <row r="779" customFormat="false" ht="18.75" hidden="false" customHeight="true" outlineLevel="0" collapsed="false">
      <c r="B779" s="33"/>
      <c r="C779" s="29"/>
    </row>
    <row r="780" customFormat="false" ht="18.75" hidden="false" customHeight="true" outlineLevel="0" collapsed="false">
      <c r="B780" s="33"/>
      <c r="C780" s="29"/>
    </row>
    <row r="781" customFormat="false" ht="18.75" hidden="false" customHeight="true" outlineLevel="0" collapsed="false">
      <c r="B781" s="33"/>
      <c r="C781" s="29"/>
    </row>
    <row r="782" customFormat="false" ht="18.75" hidden="false" customHeight="true" outlineLevel="0" collapsed="false">
      <c r="B782" s="33"/>
      <c r="C782" s="29"/>
    </row>
    <row r="783" customFormat="false" ht="18.75" hidden="false" customHeight="true" outlineLevel="0" collapsed="false">
      <c r="B783" s="33"/>
      <c r="C783" s="29"/>
    </row>
    <row r="784" customFormat="false" ht="18.75" hidden="false" customHeight="true" outlineLevel="0" collapsed="false">
      <c r="B784" s="33"/>
      <c r="C784" s="29"/>
    </row>
    <row r="785" customFormat="false" ht="18.75" hidden="false" customHeight="true" outlineLevel="0" collapsed="false">
      <c r="B785" s="33"/>
      <c r="C785" s="29"/>
    </row>
    <row r="786" customFormat="false" ht="18.75" hidden="false" customHeight="true" outlineLevel="0" collapsed="false">
      <c r="B786" s="33"/>
      <c r="C786" s="29"/>
    </row>
    <row r="787" customFormat="false" ht="18.75" hidden="false" customHeight="true" outlineLevel="0" collapsed="false">
      <c r="B787" s="33"/>
      <c r="C787" s="29"/>
    </row>
    <row r="788" customFormat="false" ht="18.75" hidden="false" customHeight="true" outlineLevel="0" collapsed="false">
      <c r="B788" s="33"/>
      <c r="C788" s="29"/>
    </row>
    <row r="789" customFormat="false" ht="18.75" hidden="false" customHeight="true" outlineLevel="0" collapsed="false">
      <c r="B789" s="33"/>
      <c r="C789" s="29"/>
    </row>
    <row r="790" customFormat="false" ht="18.75" hidden="false" customHeight="true" outlineLevel="0" collapsed="false">
      <c r="B790" s="33"/>
      <c r="C790" s="29"/>
    </row>
    <row r="791" customFormat="false" ht="18.75" hidden="false" customHeight="true" outlineLevel="0" collapsed="false">
      <c r="B791" s="33"/>
      <c r="C791" s="29"/>
    </row>
    <row r="792" customFormat="false" ht="18.75" hidden="false" customHeight="true" outlineLevel="0" collapsed="false">
      <c r="B792" s="33"/>
      <c r="C792" s="29"/>
    </row>
    <row r="793" customFormat="false" ht="18.75" hidden="false" customHeight="true" outlineLevel="0" collapsed="false">
      <c r="B793" s="33"/>
      <c r="C793" s="29"/>
    </row>
    <row r="794" customFormat="false" ht="18.75" hidden="false" customHeight="true" outlineLevel="0" collapsed="false">
      <c r="B794" s="33"/>
      <c r="C794" s="29"/>
    </row>
    <row r="795" customFormat="false" ht="18.75" hidden="false" customHeight="true" outlineLevel="0" collapsed="false">
      <c r="B795" s="33"/>
      <c r="C795" s="29"/>
    </row>
    <row r="796" customFormat="false" ht="18.75" hidden="false" customHeight="true" outlineLevel="0" collapsed="false">
      <c r="B796" s="33"/>
      <c r="C796" s="29"/>
    </row>
    <row r="797" customFormat="false" ht="18.75" hidden="false" customHeight="true" outlineLevel="0" collapsed="false">
      <c r="B797" s="33"/>
      <c r="C797" s="29"/>
    </row>
    <row r="798" customFormat="false" ht="18.75" hidden="false" customHeight="true" outlineLevel="0" collapsed="false">
      <c r="B798" s="33"/>
      <c r="C798" s="29"/>
    </row>
    <row r="799" customFormat="false" ht="18.75" hidden="false" customHeight="true" outlineLevel="0" collapsed="false">
      <c r="B799" s="33"/>
      <c r="C799" s="29"/>
    </row>
    <row r="800" customFormat="false" ht="18.75" hidden="false" customHeight="true" outlineLevel="0" collapsed="false">
      <c r="B800" s="33"/>
      <c r="C800" s="29"/>
    </row>
    <row r="801" customFormat="false" ht="18.75" hidden="false" customHeight="true" outlineLevel="0" collapsed="false">
      <c r="B801" s="33"/>
      <c r="C801" s="29"/>
    </row>
    <row r="802" customFormat="false" ht="18.75" hidden="false" customHeight="true" outlineLevel="0" collapsed="false">
      <c r="B802" s="33"/>
      <c r="C802" s="29"/>
    </row>
    <row r="803" customFormat="false" ht="18.75" hidden="false" customHeight="true" outlineLevel="0" collapsed="false">
      <c r="B803" s="33"/>
      <c r="C803" s="29"/>
    </row>
    <row r="804" customFormat="false" ht="18.75" hidden="false" customHeight="true" outlineLevel="0" collapsed="false">
      <c r="B804" s="33"/>
      <c r="C804" s="29"/>
    </row>
    <row r="805" customFormat="false" ht="18.75" hidden="false" customHeight="true" outlineLevel="0" collapsed="false">
      <c r="B805" s="33"/>
      <c r="C805" s="29"/>
    </row>
    <row r="806" customFormat="false" ht="18.75" hidden="false" customHeight="true" outlineLevel="0" collapsed="false">
      <c r="B806" s="33"/>
      <c r="C806" s="29"/>
    </row>
    <row r="807" customFormat="false" ht="18.75" hidden="false" customHeight="true" outlineLevel="0" collapsed="false">
      <c r="B807" s="33"/>
      <c r="C807" s="29"/>
    </row>
    <row r="808" customFormat="false" ht="18.75" hidden="false" customHeight="true" outlineLevel="0" collapsed="false">
      <c r="B808" s="33"/>
      <c r="C808" s="29"/>
    </row>
    <row r="809" customFormat="false" ht="18.75" hidden="false" customHeight="true" outlineLevel="0" collapsed="false">
      <c r="B809" s="33"/>
      <c r="C809" s="29"/>
    </row>
    <row r="810" customFormat="false" ht="18.75" hidden="false" customHeight="true" outlineLevel="0" collapsed="false">
      <c r="B810" s="33"/>
      <c r="C810" s="29"/>
    </row>
    <row r="811" customFormat="false" ht="18.75" hidden="false" customHeight="true" outlineLevel="0" collapsed="false">
      <c r="B811" s="33"/>
      <c r="C811" s="29"/>
    </row>
    <row r="812" customFormat="false" ht="18.75" hidden="false" customHeight="true" outlineLevel="0" collapsed="false">
      <c r="B812" s="33"/>
      <c r="C812" s="29"/>
    </row>
    <row r="813" customFormat="false" ht="18.75" hidden="false" customHeight="true" outlineLevel="0" collapsed="false">
      <c r="B813" s="33"/>
      <c r="C813" s="29"/>
    </row>
    <row r="814" customFormat="false" ht="18.75" hidden="false" customHeight="true" outlineLevel="0" collapsed="false">
      <c r="B814" s="33"/>
      <c r="C814" s="29"/>
    </row>
    <row r="815" customFormat="false" ht="18.75" hidden="false" customHeight="true" outlineLevel="0" collapsed="false">
      <c r="B815" s="33"/>
      <c r="C815" s="29"/>
    </row>
    <row r="816" customFormat="false" ht="18.75" hidden="false" customHeight="true" outlineLevel="0" collapsed="false">
      <c r="B816" s="33"/>
      <c r="C816" s="29"/>
    </row>
    <row r="817" customFormat="false" ht="18.75" hidden="false" customHeight="true" outlineLevel="0" collapsed="false">
      <c r="B817" s="33"/>
      <c r="C817" s="29"/>
    </row>
    <row r="818" customFormat="false" ht="18.75" hidden="false" customHeight="true" outlineLevel="0" collapsed="false">
      <c r="B818" s="33"/>
      <c r="C818" s="29"/>
    </row>
    <row r="819" customFormat="false" ht="18.75" hidden="false" customHeight="true" outlineLevel="0" collapsed="false">
      <c r="B819" s="33"/>
      <c r="C819" s="29"/>
    </row>
    <row r="820" customFormat="false" ht="18.75" hidden="false" customHeight="true" outlineLevel="0" collapsed="false">
      <c r="B820" s="33"/>
      <c r="C820" s="29"/>
    </row>
    <row r="821" customFormat="false" ht="18.75" hidden="false" customHeight="true" outlineLevel="0" collapsed="false">
      <c r="B821" s="33"/>
      <c r="C821" s="29"/>
    </row>
    <row r="822" customFormat="false" ht="18.75" hidden="false" customHeight="true" outlineLevel="0" collapsed="false">
      <c r="B822" s="33"/>
      <c r="C822" s="29"/>
    </row>
    <row r="823" customFormat="false" ht="18.75" hidden="false" customHeight="true" outlineLevel="0" collapsed="false">
      <c r="B823" s="33"/>
      <c r="C823" s="29"/>
    </row>
    <row r="824" customFormat="false" ht="18.75" hidden="false" customHeight="true" outlineLevel="0" collapsed="false">
      <c r="B824" s="33"/>
      <c r="C824" s="29"/>
    </row>
    <row r="825" customFormat="false" ht="18.75" hidden="false" customHeight="true" outlineLevel="0" collapsed="false">
      <c r="B825" s="33"/>
      <c r="C825" s="29"/>
    </row>
    <row r="826" customFormat="false" ht="18.75" hidden="false" customHeight="true" outlineLevel="0" collapsed="false">
      <c r="B826" s="33"/>
      <c r="C826" s="29"/>
    </row>
    <row r="827" customFormat="false" ht="18.75" hidden="false" customHeight="true" outlineLevel="0" collapsed="false">
      <c r="B827" s="33"/>
      <c r="C827" s="29"/>
    </row>
    <row r="828" customFormat="false" ht="18.75" hidden="false" customHeight="true" outlineLevel="0" collapsed="false">
      <c r="B828" s="33"/>
      <c r="C828" s="29"/>
    </row>
    <row r="829" customFormat="false" ht="18.75" hidden="false" customHeight="true" outlineLevel="0" collapsed="false">
      <c r="B829" s="33"/>
      <c r="C829" s="29"/>
    </row>
    <row r="830" customFormat="false" ht="18.75" hidden="false" customHeight="true" outlineLevel="0" collapsed="false">
      <c r="B830" s="33"/>
      <c r="C830" s="29"/>
    </row>
    <row r="831" customFormat="false" ht="18.75" hidden="false" customHeight="true" outlineLevel="0" collapsed="false">
      <c r="B831" s="33"/>
      <c r="C831" s="29"/>
    </row>
    <row r="832" customFormat="false" ht="18.75" hidden="false" customHeight="true" outlineLevel="0" collapsed="false">
      <c r="B832" s="33"/>
      <c r="C832" s="29"/>
    </row>
    <row r="833" customFormat="false" ht="18.75" hidden="false" customHeight="true" outlineLevel="0" collapsed="false">
      <c r="B833" s="33"/>
      <c r="C833" s="29"/>
    </row>
    <row r="834" customFormat="false" ht="18.75" hidden="false" customHeight="true" outlineLevel="0" collapsed="false">
      <c r="B834" s="33"/>
      <c r="C834" s="29"/>
    </row>
    <row r="835" customFormat="false" ht="18.75" hidden="false" customHeight="true" outlineLevel="0" collapsed="false">
      <c r="B835" s="33"/>
      <c r="C835" s="29"/>
    </row>
    <row r="836" customFormat="false" ht="18.75" hidden="false" customHeight="true" outlineLevel="0" collapsed="false">
      <c r="B836" s="33"/>
      <c r="C836" s="29"/>
    </row>
    <row r="837" customFormat="false" ht="18.75" hidden="false" customHeight="true" outlineLevel="0" collapsed="false">
      <c r="B837" s="33"/>
      <c r="C837" s="29"/>
    </row>
    <row r="838" customFormat="false" ht="18.75" hidden="false" customHeight="true" outlineLevel="0" collapsed="false">
      <c r="B838" s="33"/>
      <c r="C838" s="29"/>
    </row>
    <row r="839" customFormat="false" ht="18.75" hidden="false" customHeight="true" outlineLevel="0" collapsed="false">
      <c r="B839" s="33"/>
      <c r="C839" s="29"/>
    </row>
    <row r="840" customFormat="false" ht="18.75" hidden="false" customHeight="true" outlineLevel="0" collapsed="false">
      <c r="B840" s="33"/>
      <c r="C840" s="29"/>
    </row>
    <row r="841" customFormat="false" ht="18.75" hidden="false" customHeight="true" outlineLevel="0" collapsed="false">
      <c r="B841" s="33"/>
      <c r="C841" s="29"/>
    </row>
    <row r="842" customFormat="false" ht="18.75" hidden="false" customHeight="true" outlineLevel="0" collapsed="false">
      <c r="B842" s="33"/>
      <c r="C842" s="29"/>
    </row>
    <row r="843" customFormat="false" ht="18.75" hidden="false" customHeight="true" outlineLevel="0" collapsed="false">
      <c r="B843" s="33"/>
      <c r="C843" s="29"/>
    </row>
    <row r="844" customFormat="false" ht="18.75" hidden="false" customHeight="true" outlineLevel="0" collapsed="false">
      <c r="B844" s="33"/>
      <c r="C844" s="29"/>
    </row>
    <row r="845" customFormat="false" ht="18.75" hidden="false" customHeight="true" outlineLevel="0" collapsed="false">
      <c r="B845" s="33"/>
      <c r="C845" s="29"/>
    </row>
    <row r="846" customFormat="false" ht="18.75" hidden="false" customHeight="true" outlineLevel="0" collapsed="false">
      <c r="B846" s="33"/>
      <c r="C846" s="29"/>
    </row>
    <row r="847" customFormat="false" ht="18.75" hidden="false" customHeight="true" outlineLevel="0" collapsed="false">
      <c r="B847" s="33"/>
      <c r="C847" s="29"/>
    </row>
    <row r="848" customFormat="false" ht="18.75" hidden="false" customHeight="true" outlineLevel="0" collapsed="false">
      <c r="B848" s="33"/>
      <c r="C848" s="29"/>
    </row>
    <row r="849" customFormat="false" ht="18.75" hidden="false" customHeight="true" outlineLevel="0" collapsed="false">
      <c r="B849" s="33"/>
      <c r="C849" s="29"/>
    </row>
    <row r="850" customFormat="false" ht="18.75" hidden="false" customHeight="true" outlineLevel="0" collapsed="false">
      <c r="B850" s="33"/>
      <c r="C850" s="29"/>
    </row>
    <row r="851" customFormat="false" ht="18.75" hidden="false" customHeight="true" outlineLevel="0" collapsed="false">
      <c r="B851" s="33"/>
      <c r="C851" s="29"/>
    </row>
    <row r="852" customFormat="false" ht="18.75" hidden="false" customHeight="true" outlineLevel="0" collapsed="false">
      <c r="B852" s="33"/>
      <c r="C852" s="29"/>
    </row>
    <row r="853" customFormat="false" ht="18.75" hidden="false" customHeight="true" outlineLevel="0" collapsed="false">
      <c r="B853" s="33"/>
      <c r="C853" s="29"/>
    </row>
    <row r="854" customFormat="false" ht="18.75" hidden="false" customHeight="true" outlineLevel="0" collapsed="false">
      <c r="B854" s="33"/>
      <c r="C854" s="29"/>
    </row>
    <row r="855" customFormat="false" ht="18.75" hidden="false" customHeight="true" outlineLevel="0" collapsed="false">
      <c r="B855" s="33"/>
      <c r="C855" s="29"/>
    </row>
    <row r="856" customFormat="false" ht="18.75" hidden="false" customHeight="true" outlineLevel="0" collapsed="false">
      <c r="B856" s="33"/>
      <c r="C856" s="29"/>
    </row>
    <row r="857" customFormat="false" ht="18.75" hidden="false" customHeight="true" outlineLevel="0" collapsed="false">
      <c r="B857" s="33"/>
      <c r="C857" s="29"/>
    </row>
    <row r="858" customFormat="false" ht="18.75" hidden="false" customHeight="true" outlineLevel="0" collapsed="false">
      <c r="B858" s="33"/>
      <c r="C858" s="29"/>
    </row>
    <row r="859" customFormat="false" ht="18.75" hidden="false" customHeight="true" outlineLevel="0" collapsed="false">
      <c r="B859" s="33"/>
      <c r="C859" s="29"/>
    </row>
    <row r="860" customFormat="false" ht="18.75" hidden="false" customHeight="true" outlineLevel="0" collapsed="false">
      <c r="B860" s="33"/>
      <c r="C860" s="29"/>
    </row>
    <row r="861" customFormat="false" ht="18.75" hidden="false" customHeight="true" outlineLevel="0" collapsed="false">
      <c r="B861" s="33"/>
      <c r="C861" s="29"/>
    </row>
    <row r="862" customFormat="false" ht="18.75" hidden="false" customHeight="true" outlineLevel="0" collapsed="false">
      <c r="B862" s="33"/>
      <c r="C862" s="29"/>
    </row>
    <row r="863" customFormat="false" ht="18.75" hidden="false" customHeight="true" outlineLevel="0" collapsed="false">
      <c r="B863" s="33"/>
      <c r="C863" s="29"/>
    </row>
    <row r="864" customFormat="false" ht="18.75" hidden="false" customHeight="true" outlineLevel="0" collapsed="false">
      <c r="B864" s="33"/>
      <c r="C864" s="29"/>
    </row>
    <row r="865" customFormat="false" ht="18.75" hidden="false" customHeight="true" outlineLevel="0" collapsed="false">
      <c r="B865" s="33"/>
      <c r="C865" s="29"/>
    </row>
    <row r="866" customFormat="false" ht="18.75" hidden="false" customHeight="true" outlineLevel="0" collapsed="false">
      <c r="B866" s="33"/>
      <c r="C866" s="29"/>
    </row>
    <row r="867" customFormat="false" ht="18.75" hidden="false" customHeight="true" outlineLevel="0" collapsed="false">
      <c r="B867" s="33"/>
      <c r="C867" s="29"/>
    </row>
    <row r="868" customFormat="false" ht="18.75" hidden="false" customHeight="true" outlineLevel="0" collapsed="false">
      <c r="B868" s="33"/>
      <c r="C868" s="29"/>
    </row>
    <row r="869" customFormat="false" ht="18.75" hidden="false" customHeight="true" outlineLevel="0" collapsed="false">
      <c r="B869" s="33"/>
      <c r="C869" s="29"/>
    </row>
    <row r="870" customFormat="false" ht="18.75" hidden="false" customHeight="true" outlineLevel="0" collapsed="false">
      <c r="B870" s="33"/>
      <c r="C870" s="29"/>
    </row>
    <row r="871" customFormat="false" ht="18.75" hidden="false" customHeight="true" outlineLevel="0" collapsed="false">
      <c r="B871" s="33"/>
      <c r="C871" s="29"/>
    </row>
    <row r="872" customFormat="false" ht="18.75" hidden="false" customHeight="true" outlineLevel="0" collapsed="false">
      <c r="B872" s="33"/>
      <c r="C872" s="29"/>
    </row>
    <row r="873" customFormat="false" ht="18.75" hidden="false" customHeight="true" outlineLevel="0" collapsed="false">
      <c r="B873" s="33"/>
      <c r="C873" s="29"/>
    </row>
    <row r="874" customFormat="false" ht="18.75" hidden="false" customHeight="true" outlineLevel="0" collapsed="false">
      <c r="B874" s="33"/>
      <c r="C874" s="29"/>
    </row>
    <row r="875" customFormat="false" ht="18.75" hidden="false" customHeight="true" outlineLevel="0" collapsed="false">
      <c r="B875" s="33"/>
      <c r="C875" s="29"/>
    </row>
    <row r="876" customFormat="false" ht="18.75" hidden="false" customHeight="true" outlineLevel="0" collapsed="false">
      <c r="B876" s="33"/>
      <c r="C876" s="29"/>
    </row>
    <row r="877" customFormat="false" ht="18.75" hidden="false" customHeight="true" outlineLevel="0" collapsed="false">
      <c r="B877" s="33"/>
      <c r="C877" s="29"/>
    </row>
    <row r="878" customFormat="false" ht="18.75" hidden="false" customHeight="true" outlineLevel="0" collapsed="false">
      <c r="B878" s="33"/>
      <c r="C878" s="29"/>
    </row>
    <row r="879" customFormat="false" ht="18.75" hidden="false" customHeight="true" outlineLevel="0" collapsed="false">
      <c r="B879" s="33"/>
      <c r="C879" s="29"/>
    </row>
    <row r="880" customFormat="false" ht="18.75" hidden="false" customHeight="true" outlineLevel="0" collapsed="false">
      <c r="B880" s="33"/>
      <c r="C880" s="29"/>
    </row>
    <row r="881" customFormat="false" ht="18.75" hidden="false" customHeight="true" outlineLevel="0" collapsed="false">
      <c r="B881" s="33"/>
      <c r="C881" s="29"/>
    </row>
    <row r="882" customFormat="false" ht="18.75" hidden="false" customHeight="true" outlineLevel="0" collapsed="false">
      <c r="B882" s="33"/>
      <c r="C882" s="29"/>
    </row>
    <row r="883" customFormat="false" ht="18.75" hidden="false" customHeight="true" outlineLevel="0" collapsed="false">
      <c r="B883" s="33"/>
      <c r="C883" s="29"/>
    </row>
    <row r="884" customFormat="false" ht="18.75" hidden="false" customHeight="true" outlineLevel="0" collapsed="false">
      <c r="B884" s="33"/>
      <c r="C884" s="29"/>
    </row>
    <row r="885" customFormat="false" ht="18.75" hidden="false" customHeight="true" outlineLevel="0" collapsed="false">
      <c r="B885" s="33"/>
      <c r="C885" s="29"/>
    </row>
    <row r="886" customFormat="false" ht="18.75" hidden="false" customHeight="true" outlineLevel="0" collapsed="false">
      <c r="B886" s="33"/>
      <c r="C886" s="29"/>
    </row>
    <row r="887" customFormat="false" ht="18.75" hidden="false" customHeight="true" outlineLevel="0" collapsed="false">
      <c r="B887" s="33"/>
      <c r="C887" s="29"/>
    </row>
    <row r="888" customFormat="false" ht="18.75" hidden="false" customHeight="true" outlineLevel="0" collapsed="false">
      <c r="B888" s="33"/>
      <c r="C888" s="29"/>
    </row>
    <row r="889" customFormat="false" ht="18.75" hidden="false" customHeight="true" outlineLevel="0" collapsed="false">
      <c r="B889" s="33"/>
      <c r="C889" s="29"/>
    </row>
    <row r="890" customFormat="false" ht="18.75" hidden="false" customHeight="true" outlineLevel="0" collapsed="false">
      <c r="B890" s="33"/>
      <c r="C890" s="29"/>
    </row>
    <row r="891" customFormat="false" ht="18.75" hidden="false" customHeight="true" outlineLevel="0" collapsed="false">
      <c r="B891" s="33"/>
      <c r="C891" s="29"/>
    </row>
    <row r="892" customFormat="false" ht="18.75" hidden="false" customHeight="true" outlineLevel="0" collapsed="false">
      <c r="B892" s="33"/>
      <c r="C892" s="29"/>
    </row>
    <row r="893" customFormat="false" ht="18.75" hidden="false" customHeight="true" outlineLevel="0" collapsed="false">
      <c r="B893" s="33"/>
      <c r="C893" s="29"/>
    </row>
    <row r="894" customFormat="false" ht="18.75" hidden="false" customHeight="true" outlineLevel="0" collapsed="false">
      <c r="B894" s="33"/>
      <c r="C894" s="29"/>
    </row>
    <row r="895" customFormat="false" ht="18.75" hidden="false" customHeight="true" outlineLevel="0" collapsed="false">
      <c r="B895" s="33"/>
      <c r="C895" s="29"/>
    </row>
    <row r="896" customFormat="false" ht="18.75" hidden="false" customHeight="true" outlineLevel="0" collapsed="false">
      <c r="B896" s="33"/>
      <c r="C896" s="29"/>
    </row>
    <row r="897" customFormat="false" ht="18.75" hidden="false" customHeight="true" outlineLevel="0" collapsed="false">
      <c r="B897" s="33"/>
      <c r="C897" s="29"/>
    </row>
    <row r="898" customFormat="false" ht="18.75" hidden="false" customHeight="true" outlineLevel="0" collapsed="false">
      <c r="B898" s="33"/>
      <c r="C898" s="29"/>
    </row>
    <row r="899" customFormat="false" ht="18.75" hidden="false" customHeight="true" outlineLevel="0" collapsed="false">
      <c r="B899" s="33"/>
      <c r="C899" s="29"/>
    </row>
    <row r="900" customFormat="false" ht="18.75" hidden="false" customHeight="true" outlineLevel="0" collapsed="false">
      <c r="B900" s="33"/>
      <c r="C900" s="29"/>
    </row>
    <row r="901" customFormat="false" ht="18.75" hidden="false" customHeight="true" outlineLevel="0" collapsed="false">
      <c r="B901" s="33"/>
      <c r="C901" s="29"/>
    </row>
    <row r="902" customFormat="false" ht="18.75" hidden="false" customHeight="true" outlineLevel="0" collapsed="false">
      <c r="B902" s="33"/>
      <c r="C902" s="29"/>
    </row>
    <row r="903" customFormat="false" ht="18.75" hidden="false" customHeight="true" outlineLevel="0" collapsed="false">
      <c r="B903" s="33"/>
      <c r="C903" s="29"/>
    </row>
    <row r="904" customFormat="false" ht="18.75" hidden="false" customHeight="true" outlineLevel="0" collapsed="false">
      <c r="B904" s="33"/>
      <c r="C904" s="29"/>
    </row>
    <row r="905" customFormat="false" ht="18.75" hidden="false" customHeight="true" outlineLevel="0" collapsed="false">
      <c r="B905" s="33"/>
      <c r="C905" s="29"/>
    </row>
    <row r="906" customFormat="false" ht="18.75" hidden="false" customHeight="true" outlineLevel="0" collapsed="false">
      <c r="B906" s="33"/>
      <c r="C906" s="29"/>
    </row>
    <row r="907" customFormat="false" ht="18.75" hidden="false" customHeight="true" outlineLevel="0" collapsed="false">
      <c r="B907" s="33"/>
      <c r="C907" s="29"/>
    </row>
    <row r="908" customFormat="false" ht="18.75" hidden="false" customHeight="true" outlineLevel="0" collapsed="false">
      <c r="B908" s="33"/>
      <c r="C908" s="29"/>
    </row>
    <row r="909" customFormat="false" ht="18.75" hidden="false" customHeight="true" outlineLevel="0" collapsed="false">
      <c r="B909" s="33"/>
      <c r="C909" s="29"/>
    </row>
    <row r="910" customFormat="false" ht="18.75" hidden="false" customHeight="true" outlineLevel="0" collapsed="false">
      <c r="B910" s="33"/>
      <c r="C910" s="29"/>
    </row>
    <row r="911" customFormat="false" ht="18.75" hidden="false" customHeight="true" outlineLevel="0" collapsed="false">
      <c r="B911" s="33"/>
      <c r="C911" s="29"/>
    </row>
    <row r="912" customFormat="false" ht="18.75" hidden="false" customHeight="true" outlineLevel="0" collapsed="false">
      <c r="B912" s="33"/>
      <c r="C912" s="29"/>
    </row>
    <row r="913" customFormat="false" ht="18.75" hidden="false" customHeight="true" outlineLevel="0" collapsed="false">
      <c r="B913" s="33"/>
      <c r="C913" s="29"/>
    </row>
    <row r="914" customFormat="false" ht="18.75" hidden="false" customHeight="true" outlineLevel="0" collapsed="false">
      <c r="B914" s="33"/>
      <c r="C914" s="29"/>
    </row>
    <row r="915" customFormat="false" ht="18.75" hidden="false" customHeight="true" outlineLevel="0" collapsed="false">
      <c r="B915" s="33"/>
      <c r="C915" s="29"/>
    </row>
    <row r="916" customFormat="false" ht="18.75" hidden="false" customHeight="true" outlineLevel="0" collapsed="false">
      <c r="B916" s="33"/>
      <c r="C916" s="29"/>
    </row>
    <row r="917" customFormat="false" ht="18.75" hidden="false" customHeight="true" outlineLevel="0" collapsed="false">
      <c r="B917" s="33"/>
      <c r="C917" s="29"/>
    </row>
    <row r="918" customFormat="false" ht="18.75" hidden="false" customHeight="true" outlineLevel="0" collapsed="false">
      <c r="B918" s="33"/>
      <c r="C918" s="29"/>
    </row>
    <row r="919" customFormat="false" ht="18.75" hidden="false" customHeight="true" outlineLevel="0" collapsed="false">
      <c r="B919" s="33"/>
      <c r="C919" s="29"/>
    </row>
    <row r="920" customFormat="false" ht="18.75" hidden="false" customHeight="true" outlineLevel="0" collapsed="false">
      <c r="B920" s="33"/>
      <c r="C920" s="29"/>
    </row>
    <row r="921" customFormat="false" ht="18.75" hidden="false" customHeight="true" outlineLevel="0" collapsed="false">
      <c r="B921" s="33"/>
      <c r="C921" s="29"/>
    </row>
    <row r="922" customFormat="false" ht="18.75" hidden="false" customHeight="true" outlineLevel="0" collapsed="false">
      <c r="B922" s="33"/>
      <c r="C922" s="29"/>
    </row>
    <row r="923" customFormat="false" ht="18.75" hidden="false" customHeight="true" outlineLevel="0" collapsed="false">
      <c r="B923" s="33"/>
      <c r="C923" s="29"/>
    </row>
    <row r="924" customFormat="false" ht="18.75" hidden="false" customHeight="true" outlineLevel="0" collapsed="false">
      <c r="B924" s="33"/>
      <c r="C924" s="29"/>
    </row>
    <row r="925" customFormat="false" ht="18.75" hidden="false" customHeight="true" outlineLevel="0" collapsed="false">
      <c r="B925" s="33"/>
      <c r="C925" s="29"/>
    </row>
    <row r="926" customFormat="false" ht="18.75" hidden="false" customHeight="true" outlineLevel="0" collapsed="false">
      <c r="B926" s="33"/>
      <c r="C926" s="29"/>
    </row>
    <row r="927" customFormat="false" ht="18.75" hidden="false" customHeight="true" outlineLevel="0" collapsed="false">
      <c r="B927" s="33"/>
      <c r="C927" s="29"/>
    </row>
    <row r="928" customFormat="false" ht="18.75" hidden="false" customHeight="true" outlineLevel="0" collapsed="false">
      <c r="B928" s="33"/>
      <c r="C928" s="29"/>
    </row>
    <row r="929" customFormat="false" ht="18.75" hidden="false" customHeight="true" outlineLevel="0" collapsed="false">
      <c r="B929" s="33"/>
      <c r="C929" s="29"/>
    </row>
    <row r="930" customFormat="false" ht="18.75" hidden="false" customHeight="true" outlineLevel="0" collapsed="false">
      <c r="B930" s="33"/>
      <c r="C930" s="29"/>
    </row>
    <row r="931" customFormat="false" ht="18.75" hidden="false" customHeight="true" outlineLevel="0" collapsed="false">
      <c r="B931" s="33"/>
      <c r="C931" s="29"/>
    </row>
    <row r="932" customFormat="false" ht="18.75" hidden="false" customHeight="true" outlineLevel="0" collapsed="false">
      <c r="B932" s="33"/>
      <c r="C932" s="29"/>
    </row>
    <row r="933" customFormat="false" ht="18.75" hidden="false" customHeight="true" outlineLevel="0" collapsed="false">
      <c r="B933" s="33"/>
      <c r="C933" s="29"/>
    </row>
    <row r="934" customFormat="false" ht="18.75" hidden="false" customHeight="true" outlineLevel="0" collapsed="false">
      <c r="B934" s="33"/>
      <c r="C934" s="29"/>
    </row>
    <row r="935" customFormat="false" ht="18.75" hidden="false" customHeight="true" outlineLevel="0" collapsed="false">
      <c r="B935" s="33"/>
      <c r="C935" s="29"/>
    </row>
    <row r="936" customFormat="false" ht="18.75" hidden="false" customHeight="true" outlineLevel="0" collapsed="false">
      <c r="B936" s="33"/>
      <c r="C936" s="29"/>
    </row>
    <row r="937" customFormat="false" ht="18.75" hidden="false" customHeight="true" outlineLevel="0" collapsed="false">
      <c r="B937" s="33"/>
      <c r="C937" s="29"/>
    </row>
    <row r="938" customFormat="false" ht="18.75" hidden="false" customHeight="true" outlineLevel="0" collapsed="false">
      <c r="B938" s="33"/>
      <c r="C938" s="29"/>
    </row>
    <row r="939" customFormat="false" ht="18.75" hidden="false" customHeight="true" outlineLevel="0" collapsed="false">
      <c r="B939" s="33"/>
      <c r="C939" s="29"/>
    </row>
    <row r="940" customFormat="false" ht="18.75" hidden="false" customHeight="true" outlineLevel="0" collapsed="false">
      <c r="B940" s="33"/>
      <c r="C940" s="29"/>
    </row>
    <row r="941" customFormat="false" ht="18.75" hidden="false" customHeight="true" outlineLevel="0" collapsed="false">
      <c r="B941" s="33"/>
      <c r="C941" s="29"/>
    </row>
    <row r="942" customFormat="false" ht="18.75" hidden="false" customHeight="true" outlineLevel="0" collapsed="false">
      <c r="B942" s="33"/>
      <c r="C942" s="29"/>
    </row>
    <row r="943" customFormat="false" ht="18.75" hidden="false" customHeight="true" outlineLevel="0" collapsed="false">
      <c r="B943" s="33"/>
      <c r="C943" s="29"/>
    </row>
    <row r="944" customFormat="false" ht="18.75" hidden="false" customHeight="true" outlineLevel="0" collapsed="false">
      <c r="B944" s="33"/>
      <c r="C944" s="29"/>
    </row>
    <row r="945" customFormat="false" ht="18.75" hidden="false" customHeight="true" outlineLevel="0" collapsed="false">
      <c r="B945" s="33"/>
      <c r="C945" s="29"/>
    </row>
    <row r="946" customFormat="false" ht="18.75" hidden="false" customHeight="true" outlineLevel="0" collapsed="false">
      <c r="B946" s="33"/>
      <c r="C946" s="29"/>
    </row>
    <row r="947" customFormat="false" ht="18.75" hidden="false" customHeight="true" outlineLevel="0" collapsed="false">
      <c r="B947" s="33"/>
      <c r="C947" s="29"/>
    </row>
    <row r="948" customFormat="false" ht="18.75" hidden="false" customHeight="true" outlineLevel="0" collapsed="false">
      <c r="B948" s="33"/>
      <c r="C948" s="29"/>
    </row>
    <row r="949" customFormat="false" ht="18.75" hidden="false" customHeight="true" outlineLevel="0" collapsed="false">
      <c r="B949" s="33"/>
      <c r="C949" s="29"/>
    </row>
    <row r="950" customFormat="false" ht="18.75" hidden="false" customHeight="true" outlineLevel="0" collapsed="false">
      <c r="B950" s="33"/>
      <c r="C950" s="29"/>
    </row>
    <row r="951" customFormat="false" ht="18.75" hidden="false" customHeight="true" outlineLevel="0" collapsed="false">
      <c r="B951" s="33"/>
      <c r="C951" s="29"/>
    </row>
    <row r="952" customFormat="false" ht="18.75" hidden="false" customHeight="true" outlineLevel="0" collapsed="false">
      <c r="B952" s="33"/>
      <c r="C952" s="29"/>
    </row>
    <row r="953" customFormat="false" ht="18.75" hidden="false" customHeight="true" outlineLevel="0" collapsed="false">
      <c r="B953" s="33"/>
      <c r="C953" s="29"/>
    </row>
    <row r="954" customFormat="false" ht="18.75" hidden="false" customHeight="true" outlineLevel="0" collapsed="false">
      <c r="B954" s="33"/>
      <c r="C954" s="29"/>
    </row>
    <row r="955" customFormat="false" ht="18.75" hidden="false" customHeight="true" outlineLevel="0" collapsed="false">
      <c r="B955" s="33"/>
      <c r="C955" s="29"/>
    </row>
    <row r="956" customFormat="false" ht="18.75" hidden="false" customHeight="true" outlineLevel="0" collapsed="false">
      <c r="B956" s="33"/>
      <c r="C956" s="29"/>
    </row>
    <row r="957" customFormat="false" ht="18.75" hidden="false" customHeight="true" outlineLevel="0" collapsed="false">
      <c r="B957" s="33"/>
      <c r="C957" s="29"/>
    </row>
    <row r="958" customFormat="false" ht="18.75" hidden="false" customHeight="true" outlineLevel="0" collapsed="false">
      <c r="B958" s="33"/>
      <c r="C958" s="29"/>
    </row>
    <row r="959" customFormat="false" ht="18.75" hidden="false" customHeight="true" outlineLevel="0" collapsed="false">
      <c r="B959" s="33"/>
      <c r="C959" s="29"/>
    </row>
    <row r="960" customFormat="false" ht="18.75" hidden="false" customHeight="true" outlineLevel="0" collapsed="false">
      <c r="B960" s="33"/>
      <c r="C960" s="29"/>
    </row>
    <row r="961" customFormat="false" ht="18.75" hidden="false" customHeight="true" outlineLevel="0" collapsed="false">
      <c r="B961" s="33"/>
      <c r="C961" s="29"/>
    </row>
    <row r="962" customFormat="false" ht="18.75" hidden="false" customHeight="true" outlineLevel="0" collapsed="false">
      <c r="B962" s="33"/>
      <c r="C962" s="29"/>
    </row>
    <row r="963" customFormat="false" ht="18.75" hidden="false" customHeight="true" outlineLevel="0" collapsed="false">
      <c r="B963" s="33"/>
      <c r="C963" s="29"/>
    </row>
    <row r="964" customFormat="false" ht="18.75" hidden="false" customHeight="true" outlineLevel="0" collapsed="false">
      <c r="B964" s="33"/>
      <c r="C964" s="29"/>
    </row>
    <row r="965" customFormat="false" ht="18.75" hidden="false" customHeight="true" outlineLevel="0" collapsed="false">
      <c r="B965" s="33"/>
      <c r="C965" s="29"/>
    </row>
    <row r="966" customFormat="false" ht="18.75" hidden="false" customHeight="true" outlineLevel="0" collapsed="false">
      <c r="B966" s="33"/>
      <c r="C966" s="29"/>
    </row>
    <row r="967" customFormat="false" ht="18.75" hidden="false" customHeight="true" outlineLevel="0" collapsed="false">
      <c r="B967" s="33"/>
      <c r="C967" s="29"/>
    </row>
    <row r="968" customFormat="false" ht="18.75" hidden="false" customHeight="true" outlineLevel="0" collapsed="false">
      <c r="B968" s="33"/>
      <c r="C968" s="29"/>
    </row>
    <row r="969" customFormat="false" ht="18.75" hidden="false" customHeight="true" outlineLevel="0" collapsed="false">
      <c r="B969" s="33"/>
      <c r="C969" s="29"/>
    </row>
    <row r="970" customFormat="false" ht="18.75" hidden="false" customHeight="true" outlineLevel="0" collapsed="false">
      <c r="B970" s="33"/>
      <c r="C970" s="29"/>
    </row>
    <row r="971" customFormat="false" ht="18.75" hidden="false" customHeight="true" outlineLevel="0" collapsed="false">
      <c r="B971" s="33"/>
      <c r="C971" s="29"/>
    </row>
    <row r="972" customFormat="false" ht="18.75" hidden="false" customHeight="true" outlineLevel="0" collapsed="false">
      <c r="B972" s="33"/>
      <c r="C972" s="29"/>
    </row>
    <row r="973" customFormat="false" ht="18.75" hidden="false" customHeight="true" outlineLevel="0" collapsed="false">
      <c r="B973" s="33"/>
      <c r="C973" s="29"/>
    </row>
    <row r="974" customFormat="false" ht="18.75" hidden="false" customHeight="true" outlineLevel="0" collapsed="false">
      <c r="B974" s="33"/>
      <c r="C974" s="29"/>
    </row>
    <row r="975" customFormat="false" ht="18.75" hidden="false" customHeight="true" outlineLevel="0" collapsed="false">
      <c r="B975" s="33"/>
      <c r="C975" s="29"/>
    </row>
    <row r="976" customFormat="false" ht="18.75" hidden="false" customHeight="true" outlineLevel="0" collapsed="false">
      <c r="B976" s="33"/>
      <c r="C976" s="29"/>
    </row>
    <row r="977" customFormat="false" ht="18.75" hidden="false" customHeight="true" outlineLevel="0" collapsed="false">
      <c r="B977" s="33"/>
      <c r="C977" s="29"/>
    </row>
    <row r="978" customFormat="false" ht="18.75" hidden="false" customHeight="true" outlineLevel="0" collapsed="false">
      <c r="B978" s="33"/>
      <c r="C978" s="29"/>
    </row>
    <row r="979" customFormat="false" ht="18.75" hidden="false" customHeight="true" outlineLevel="0" collapsed="false">
      <c r="B979" s="33"/>
      <c r="C979" s="29"/>
    </row>
    <row r="980" customFormat="false" ht="18.75" hidden="false" customHeight="true" outlineLevel="0" collapsed="false">
      <c r="B980" s="33"/>
      <c r="C980" s="29"/>
    </row>
    <row r="981" customFormat="false" ht="18.75" hidden="false" customHeight="true" outlineLevel="0" collapsed="false">
      <c r="B981" s="33"/>
      <c r="C981" s="29"/>
    </row>
    <row r="982" customFormat="false" ht="18.75" hidden="false" customHeight="true" outlineLevel="0" collapsed="false">
      <c r="B982" s="33"/>
      <c r="C982" s="29"/>
    </row>
    <row r="983" customFormat="false" ht="18.75" hidden="false" customHeight="true" outlineLevel="0" collapsed="false">
      <c r="B983" s="33"/>
      <c r="C983" s="29"/>
    </row>
    <row r="984" customFormat="false" ht="18.75" hidden="false" customHeight="true" outlineLevel="0" collapsed="false">
      <c r="B984" s="33"/>
      <c r="C984" s="29"/>
    </row>
    <row r="985" customFormat="false" ht="18.75" hidden="false" customHeight="true" outlineLevel="0" collapsed="false">
      <c r="B985" s="33"/>
      <c r="C985" s="29"/>
    </row>
    <row r="986" customFormat="false" ht="18.75" hidden="false" customHeight="true" outlineLevel="0" collapsed="false">
      <c r="B986" s="33"/>
      <c r="C986" s="29"/>
    </row>
    <row r="987" customFormat="false" ht="18.75" hidden="false" customHeight="true" outlineLevel="0" collapsed="false">
      <c r="B987" s="33"/>
      <c r="C987" s="29"/>
    </row>
    <row r="988" customFormat="false" ht="18.75" hidden="false" customHeight="true" outlineLevel="0" collapsed="false">
      <c r="B988" s="33"/>
      <c r="C988" s="29"/>
    </row>
    <row r="989" customFormat="false" ht="18.75" hidden="false" customHeight="true" outlineLevel="0" collapsed="false">
      <c r="B989" s="33"/>
      <c r="C989" s="29"/>
    </row>
    <row r="990" customFormat="false" ht="18.75" hidden="false" customHeight="true" outlineLevel="0" collapsed="false">
      <c r="B990" s="33"/>
      <c r="C990" s="29"/>
    </row>
    <row r="991" customFormat="false" ht="18.75" hidden="false" customHeight="true" outlineLevel="0" collapsed="false">
      <c r="B991" s="33"/>
      <c r="C991" s="29"/>
    </row>
    <row r="992" customFormat="false" ht="18.75" hidden="false" customHeight="true" outlineLevel="0" collapsed="false">
      <c r="B992" s="33"/>
      <c r="C992" s="29"/>
    </row>
    <row r="993" customFormat="false" ht="18.75" hidden="false" customHeight="true" outlineLevel="0" collapsed="false">
      <c r="B993" s="33"/>
      <c r="C993" s="29"/>
    </row>
    <row r="994" customFormat="false" ht="18.75" hidden="false" customHeight="true" outlineLevel="0" collapsed="false">
      <c r="B994" s="33"/>
      <c r="C994" s="29"/>
    </row>
    <row r="995" customFormat="false" ht="18.75" hidden="false" customHeight="true" outlineLevel="0" collapsed="false">
      <c r="B995" s="33"/>
      <c r="C995" s="29"/>
    </row>
    <row r="996" customFormat="false" ht="18.75" hidden="false" customHeight="true" outlineLevel="0" collapsed="false">
      <c r="B996" s="33"/>
      <c r="C996" s="29"/>
    </row>
    <row r="997" customFormat="false" ht="18.75" hidden="false" customHeight="true" outlineLevel="0" collapsed="false">
      <c r="B997" s="33"/>
      <c r="C997" s="29"/>
    </row>
    <row r="998" customFormat="false" ht="18.75" hidden="false" customHeight="true" outlineLevel="0" collapsed="false">
      <c r="B998" s="33"/>
      <c r="C998" s="29"/>
    </row>
    <row r="999" customFormat="false" ht="18.75" hidden="false" customHeight="true" outlineLevel="0" collapsed="false">
      <c r="B999" s="33"/>
      <c r="C999" s="29"/>
    </row>
    <row r="1000" customFormat="false" ht="18.75" hidden="false" customHeight="true" outlineLevel="0" collapsed="false">
      <c r="B1000" s="33"/>
      <c r="C1000" s="29"/>
    </row>
  </sheetData>
  <mergeCells count="10">
    <mergeCell ref="A1:F1"/>
    <mergeCell ref="A2:B2"/>
    <mergeCell ref="D2:E2"/>
    <mergeCell ref="A3:B3"/>
    <mergeCell ref="D3:F3"/>
    <mergeCell ref="A5:A16"/>
    <mergeCell ref="A17:A21"/>
    <mergeCell ref="A22:A27"/>
    <mergeCell ref="A28:A34"/>
    <mergeCell ref="A35:A41"/>
  </mergeCells>
  <dataValidations count="2">
    <dataValidation allowBlank="true" errorStyle="stop" operator="between" showDropDown="false" showErrorMessage="true" showInputMessage="false" sqref="D17 D22 D28 D35 D39" type="list">
      <formula1>"Sim,Não,NA"</formula1>
      <formula2>0</formula2>
    </dataValidation>
    <dataValidation allowBlank="true" errorStyle="stop" operator="between" showDropDown="false" showErrorMessage="true" showInputMessage="false" sqref="D6 D8:D9 D11:D14 D16 D18:D21 D23:D27 D29:D34 D36:D38 D40:D41" type="list">
      <formula1>"Sim,Parcialmente,Não,NA"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1.14"/>
    <col collapsed="false" customWidth="true" hidden="false" outlineLevel="0" max="2" min="2" style="0" width="5.29"/>
    <col collapsed="false" customWidth="true" hidden="false" outlineLevel="0" max="3" min="3" style="0" width="71.29"/>
    <col collapsed="false" customWidth="true" hidden="false" outlineLevel="0" max="4" min="4" style="0" width="12.71"/>
    <col collapsed="false" customWidth="true" hidden="false" outlineLevel="0" max="5" min="5" style="0" width="29.71"/>
    <col collapsed="false" customWidth="true" hidden="false" outlineLevel="0" max="6" min="6" style="0" width="32.71"/>
    <col collapsed="false" customWidth="true" hidden="true" outlineLevel="0" max="10" min="7" style="0" width="9.14"/>
    <col collapsed="false" customWidth="true" hidden="false" outlineLevel="0" max="26" min="11" style="0" width="8.71"/>
  </cols>
  <sheetData>
    <row r="1" customFormat="false" ht="19.5" hidden="false" customHeight="true" outlineLevel="0" collapsed="false">
      <c r="A1" s="9" t="s">
        <v>29</v>
      </c>
      <c r="B1" s="9"/>
      <c r="C1" s="9"/>
      <c r="D1" s="9"/>
      <c r="E1" s="9"/>
      <c r="F1" s="9"/>
    </row>
    <row r="2" customFormat="false" ht="18.75" hidden="false" customHeight="true" outlineLevel="0" collapsed="false">
      <c r="A2" s="10" t="s">
        <v>30</v>
      </c>
      <c r="B2" s="10"/>
      <c r="C2" s="34"/>
      <c r="D2" s="12" t="s">
        <v>31</v>
      </c>
      <c r="E2" s="12"/>
      <c r="F2" s="13" t="e">
        <f aca="false">COUNTIF(D5:D42,"Sim")/(COUNTA(D5:D41)-COUNTIF(D5:D41,"NA"))</f>
        <v>#DIV/0!</v>
      </c>
    </row>
    <row r="3" customFormat="false" ht="18.75" hidden="false" customHeight="true" outlineLevel="0" collapsed="false">
      <c r="A3" s="10" t="s">
        <v>32</v>
      </c>
      <c r="B3" s="10"/>
      <c r="C3" s="35"/>
      <c r="D3" s="36" t="s">
        <v>34</v>
      </c>
      <c r="E3" s="36"/>
      <c r="F3" s="36"/>
    </row>
    <row r="4" customFormat="false" ht="18.75" hidden="false" customHeight="true" outlineLevel="0" collapsed="false">
      <c r="A4" s="16" t="s">
        <v>35</v>
      </c>
      <c r="B4" s="16" t="s">
        <v>36</v>
      </c>
      <c r="C4" s="16" t="s">
        <v>37</v>
      </c>
      <c r="D4" s="37" t="s">
        <v>38</v>
      </c>
      <c r="E4" s="16" t="s">
        <v>39</v>
      </c>
      <c r="F4" s="16" t="s">
        <v>40</v>
      </c>
    </row>
    <row r="5" customFormat="false" ht="15" hidden="false" customHeight="true" outlineLevel="0" collapsed="false">
      <c r="A5" s="26" t="s">
        <v>45</v>
      </c>
      <c r="B5" s="20"/>
      <c r="C5" s="21" t="s">
        <v>13</v>
      </c>
      <c r="D5" s="22"/>
      <c r="E5" s="22"/>
      <c r="F5" s="22"/>
    </row>
    <row r="6" customFormat="false" ht="18.75" hidden="false" customHeight="true" outlineLevel="0" collapsed="false">
      <c r="A6" s="26"/>
      <c r="B6" s="23" t="n">
        <v>1</v>
      </c>
      <c r="C6" s="24" t="s">
        <v>75</v>
      </c>
      <c r="D6" s="38"/>
      <c r="E6" s="24"/>
      <c r="F6" s="24"/>
      <c r="G6" s="6" t="n">
        <f aca="false">COUNTIF(D6,"Sim")</f>
        <v>0</v>
      </c>
      <c r="H6" s="6" t="n">
        <f aca="false">COUNTIF(D6,"Parcialmente")</f>
        <v>0</v>
      </c>
      <c r="I6" s="6" t="n">
        <f aca="false">COUNTIF(D6,"Não")</f>
        <v>0</v>
      </c>
      <c r="J6" s="6" t="n">
        <f aca="false">COUNTIF(D6,"NA")</f>
        <v>0</v>
      </c>
    </row>
    <row r="7" customFormat="false" ht="18.75" hidden="false" customHeight="true" outlineLevel="0" collapsed="false">
      <c r="A7" s="26"/>
      <c r="B7" s="20"/>
      <c r="C7" s="21" t="s">
        <v>14</v>
      </c>
      <c r="D7" s="22"/>
      <c r="E7" s="22"/>
      <c r="F7" s="22"/>
    </row>
    <row r="8" customFormat="false" ht="18.75" hidden="false" customHeight="true" outlineLevel="0" collapsed="false">
      <c r="A8" s="26"/>
      <c r="B8" s="23" t="n">
        <v>2</v>
      </c>
      <c r="C8" s="24" t="s">
        <v>76</v>
      </c>
      <c r="D8" s="38"/>
      <c r="E8" s="24"/>
      <c r="F8" s="24"/>
      <c r="G8" s="6" t="n">
        <f aca="false">COUNTIF(D8,"Sim")</f>
        <v>0</v>
      </c>
      <c r="H8" s="6" t="n">
        <f aca="false">COUNTIF(D8,"Parcialmente")</f>
        <v>0</v>
      </c>
      <c r="I8" s="6" t="n">
        <f aca="false">COUNTIF(D8,"Não")</f>
        <v>0</v>
      </c>
      <c r="J8" s="6" t="n">
        <f aca="false">COUNTIF(D8,"NA")</f>
        <v>0</v>
      </c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customFormat="false" ht="18.75" hidden="false" customHeight="true" outlineLevel="0" collapsed="false">
      <c r="A9" s="26"/>
      <c r="B9" s="20"/>
      <c r="C9" s="21" t="s">
        <v>56</v>
      </c>
      <c r="D9" s="22"/>
      <c r="E9" s="22"/>
      <c r="F9" s="22"/>
    </row>
    <row r="10" customFormat="false" ht="18.75" hidden="false" customHeight="true" outlineLevel="0" collapsed="false">
      <c r="A10" s="26"/>
      <c r="B10" s="23" t="n">
        <v>3</v>
      </c>
      <c r="C10" s="24" t="s">
        <v>78</v>
      </c>
      <c r="D10" s="38"/>
      <c r="E10" s="24"/>
      <c r="F10" s="24"/>
      <c r="G10" s="6" t="n">
        <f aca="false">COUNTIF(D10:D12,"Sim")</f>
        <v>0</v>
      </c>
      <c r="H10" s="6" t="n">
        <f aca="false">COUNTIF(D10:D12,"Parcialmente")</f>
        <v>0</v>
      </c>
      <c r="I10" s="6" t="n">
        <f aca="false">COUNTIF(D10:D12,"Não")</f>
        <v>0</v>
      </c>
      <c r="J10" s="6" t="n">
        <f aca="false">COUNTIF(D10:D12,"NA")</f>
        <v>0</v>
      </c>
    </row>
    <row r="11" customFormat="false" ht="18.75" hidden="false" customHeight="true" outlineLevel="0" collapsed="false">
      <c r="A11" s="26"/>
      <c r="B11" s="23" t="n">
        <v>4</v>
      </c>
      <c r="C11" s="24" t="s">
        <v>102</v>
      </c>
      <c r="D11" s="38"/>
      <c r="E11" s="24"/>
      <c r="F11" s="24"/>
    </row>
    <row r="12" customFormat="false" ht="18.75" hidden="false" customHeight="true" outlineLevel="0" collapsed="false">
      <c r="A12" s="26"/>
      <c r="B12" s="23" t="n">
        <v>5</v>
      </c>
      <c r="C12" s="24" t="s">
        <v>80</v>
      </c>
      <c r="D12" s="38"/>
      <c r="E12" s="24"/>
      <c r="F12" s="24"/>
    </row>
    <row r="13" customFormat="false" ht="18.75" hidden="false" customHeight="true" outlineLevel="0" collapsed="false">
      <c r="A13" s="26"/>
      <c r="B13" s="20"/>
      <c r="C13" s="21" t="s">
        <v>16</v>
      </c>
      <c r="D13" s="22"/>
      <c r="E13" s="22"/>
      <c r="F13" s="22"/>
    </row>
    <row r="14" customFormat="false" ht="18.75" hidden="false" customHeight="true" outlineLevel="0" collapsed="false">
      <c r="A14" s="26"/>
      <c r="B14" s="23" t="n">
        <v>6</v>
      </c>
      <c r="C14" s="24" t="s">
        <v>82</v>
      </c>
      <c r="D14" s="38"/>
      <c r="E14" s="24"/>
      <c r="F14" s="24"/>
      <c r="G14" s="6" t="n">
        <f aca="false">COUNTIF(D14,"Sim")</f>
        <v>0</v>
      </c>
      <c r="H14" s="6" t="n">
        <f aca="false">COUNTIF(D14,"Parcialmente")</f>
        <v>0</v>
      </c>
      <c r="I14" s="6" t="n">
        <f aca="false">COUNTIF(D14,"Não")</f>
        <v>0</v>
      </c>
      <c r="J14" s="6" t="n">
        <f aca="false">COUNTIF(D14,"NA")</f>
        <v>0</v>
      </c>
    </row>
    <row r="15" customFormat="false" ht="15" hidden="false" customHeight="true" outlineLevel="0" collapsed="false">
      <c r="A15" s="26" t="s">
        <v>83</v>
      </c>
      <c r="B15" s="20"/>
      <c r="C15" s="21" t="s">
        <v>18</v>
      </c>
      <c r="D15" s="39"/>
      <c r="E15" s="22"/>
      <c r="F15" s="22"/>
    </row>
    <row r="16" customFormat="false" ht="18.75" hidden="false" customHeight="true" outlineLevel="0" collapsed="false">
      <c r="A16" s="26"/>
      <c r="B16" s="23" t="n">
        <v>8</v>
      </c>
      <c r="C16" s="24" t="s">
        <v>103</v>
      </c>
      <c r="D16" s="38"/>
      <c r="E16" s="24"/>
      <c r="F16" s="24"/>
      <c r="G16" s="6" t="n">
        <f aca="false">COUNTIF(D16,"Sim")</f>
        <v>0</v>
      </c>
      <c r="H16" s="6" t="n">
        <f aca="false">COUNTIF(D16,"Parcialmente")</f>
        <v>0</v>
      </c>
      <c r="I16" s="6" t="n">
        <f aca="false">COUNTIF(D16,"Não")</f>
        <v>0</v>
      </c>
      <c r="J16" s="6" t="n">
        <f aca="false">COUNTIF(D16,"NA")</f>
        <v>0</v>
      </c>
    </row>
    <row r="17" customFormat="false" ht="18.75" hidden="false" customHeight="true" outlineLevel="0" collapsed="false">
      <c r="A17" s="26" t="s">
        <v>88</v>
      </c>
      <c r="B17" s="20"/>
      <c r="C17" s="21" t="s">
        <v>22</v>
      </c>
      <c r="D17" s="39"/>
      <c r="E17" s="22"/>
      <c r="F17" s="22"/>
    </row>
    <row r="18" customFormat="false" ht="18.75" hidden="false" customHeight="true" outlineLevel="0" collapsed="false">
      <c r="A18" s="26"/>
      <c r="B18" s="23" t="n">
        <v>11</v>
      </c>
      <c r="C18" s="24" t="s">
        <v>104</v>
      </c>
      <c r="D18" s="38"/>
      <c r="E18" s="24"/>
      <c r="F18" s="24"/>
      <c r="G18" s="6" t="n">
        <f aca="false">COUNTIF(D18:D22,"Sim")</f>
        <v>0</v>
      </c>
      <c r="H18" s="6" t="n">
        <f aca="false">COUNTIF(D18:D22,"Parcialmente")</f>
        <v>0</v>
      </c>
      <c r="I18" s="6" t="n">
        <f aca="false">COUNTIF(D18:D22,"Não")</f>
        <v>0</v>
      </c>
      <c r="J18" s="6" t="n">
        <f aca="false">COUNTIF(D18:D22,"NA")</f>
        <v>0</v>
      </c>
    </row>
    <row r="19" customFormat="false" ht="18.75" hidden="false" customHeight="true" outlineLevel="0" collapsed="false">
      <c r="A19" s="26"/>
      <c r="B19" s="23" t="n">
        <v>13</v>
      </c>
      <c r="C19" s="24" t="s">
        <v>89</v>
      </c>
      <c r="D19" s="38"/>
      <c r="E19" s="24"/>
      <c r="F19" s="24"/>
    </row>
    <row r="20" customFormat="false" ht="18.75" hidden="false" customHeight="true" outlineLevel="0" collapsed="false">
      <c r="A20" s="26"/>
      <c r="B20" s="23" t="n">
        <v>14</v>
      </c>
      <c r="C20" s="24" t="s">
        <v>90</v>
      </c>
      <c r="D20" s="38"/>
      <c r="E20" s="24"/>
      <c r="F20" s="24"/>
    </row>
    <row r="21" customFormat="false" ht="18.75" hidden="false" customHeight="true" outlineLevel="0" collapsed="false">
      <c r="A21" s="26"/>
      <c r="B21" s="23" t="n">
        <v>15</v>
      </c>
      <c r="C21" s="24" t="s">
        <v>91</v>
      </c>
      <c r="D21" s="38"/>
      <c r="E21" s="24"/>
      <c r="F21" s="24"/>
    </row>
    <row r="22" customFormat="false" ht="18.75" hidden="false" customHeight="true" outlineLevel="0" collapsed="false">
      <c r="A22" s="26"/>
      <c r="B22" s="23" t="n">
        <v>16</v>
      </c>
      <c r="C22" s="24" t="s">
        <v>92</v>
      </c>
      <c r="D22" s="38"/>
      <c r="E22" s="24"/>
      <c r="F22" s="24"/>
    </row>
    <row r="23" customFormat="false" ht="18.75" hidden="false" customHeight="true" outlineLevel="0" collapsed="false">
      <c r="A23" s="26" t="s">
        <v>105</v>
      </c>
      <c r="B23" s="20"/>
      <c r="C23" s="21" t="s">
        <v>26</v>
      </c>
      <c r="D23" s="39"/>
      <c r="E23" s="22"/>
      <c r="F23" s="22"/>
    </row>
    <row r="24" customFormat="false" ht="18.75" hidden="false" customHeight="true" outlineLevel="0" collapsed="false">
      <c r="A24" s="26"/>
      <c r="B24" s="30" t="n">
        <v>17</v>
      </c>
      <c r="C24" s="28" t="s">
        <v>46</v>
      </c>
      <c r="D24" s="38"/>
      <c r="E24" s="24"/>
      <c r="F24" s="24"/>
      <c r="G24" s="6" t="n">
        <f aca="false">COUNTIF(D24:D28,"Sim")</f>
        <v>0</v>
      </c>
      <c r="H24" s="6" t="n">
        <f aca="false">COUNTIF(D24:D28,"Parcialmente")</f>
        <v>0</v>
      </c>
      <c r="I24" s="6" t="n">
        <f aca="false">COUNTIF(D24:D28,"Não")</f>
        <v>0</v>
      </c>
      <c r="J24" s="6" t="n">
        <f aca="false">COUNTIF(D24:D28,"NA")</f>
        <v>0</v>
      </c>
    </row>
    <row r="25" customFormat="false" ht="18.75" hidden="false" customHeight="true" outlineLevel="0" collapsed="false">
      <c r="A25" s="26"/>
      <c r="B25" s="23" t="n">
        <v>18</v>
      </c>
      <c r="C25" s="24" t="s">
        <v>106</v>
      </c>
      <c r="D25" s="38"/>
      <c r="E25" s="24"/>
      <c r="F25" s="24"/>
    </row>
    <row r="26" customFormat="false" ht="18.75" hidden="false" customHeight="true" outlineLevel="0" collapsed="false">
      <c r="A26" s="26"/>
      <c r="B26" s="23" t="n">
        <v>19</v>
      </c>
      <c r="C26" s="24" t="s">
        <v>107</v>
      </c>
      <c r="D26" s="38"/>
      <c r="E26" s="24"/>
      <c r="F26" s="24"/>
    </row>
    <row r="27" customFormat="false" ht="18.75" hidden="false" customHeight="true" outlineLevel="0" collapsed="false">
      <c r="A27" s="26"/>
      <c r="B27" s="23" t="n">
        <v>21</v>
      </c>
      <c r="C27" s="24" t="s">
        <v>108</v>
      </c>
      <c r="D27" s="38"/>
      <c r="E27" s="24"/>
      <c r="F27" s="24"/>
    </row>
    <row r="28" customFormat="false" ht="18.75" hidden="false" customHeight="true" outlineLevel="0" collapsed="false">
      <c r="A28" s="26"/>
      <c r="B28" s="23" t="n">
        <v>22</v>
      </c>
      <c r="C28" s="24" t="s">
        <v>109</v>
      </c>
      <c r="D28" s="38"/>
      <c r="E28" s="24"/>
      <c r="F28" s="24"/>
    </row>
    <row r="29" customFormat="false" ht="18.75" hidden="false" customHeight="true" outlineLevel="0" collapsed="false">
      <c r="A29" s="19" t="s">
        <v>93</v>
      </c>
      <c r="B29" s="20"/>
      <c r="C29" s="21" t="s">
        <v>23</v>
      </c>
      <c r="D29" s="39"/>
      <c r="E29" s="22"/>
      <c r="F29" s="22"/>
    </row>
    <row r="30" customFormat="false" ht="18.75" hidden="false" customHeight="true" outlineLevel="0" collapsed="false">
      <c r="A30" s="19"/>
      <c r="B30" s="23" t="n">
        <v>24</v>
      </c>
      <c r="C30" s="24" t="s">
        <v>94</v>
      </c>
      <c r="D30" s="38"/>
      <c r="E30" s="24"/>
      <c r="F30" s="24"/>
      <c r="G30" s="6" t="n">
        <f aca="false">COUNTIF(D30:D34,"Sim")</f>
        <v>0</v>
      </c>
      <c r="H30" s="6" t="n">
        <f aca="false">COUNTIF(D30:D34,"Parcialmente")</f>
        <v>0</v>
      </c>
      <c r="I30" s="6" t="n">
        <f aca="false">COUNTIF(D30:D34,"Não")</f>
        <v>0</v>
      </c>
      <c r="J30" s="6" t="n">
        <f aca="false">COUNTIF(D30:D34,"NA")</f>
        <v>0</v>
      </c>
    </row>
    <row r="31" customFormat="false" ht="18.75" hidden="false" customHeight="true" outlineLevel="0" collapsed="false">
      <c r="A31" s="19"/>
      <c r="B31" s="23" t="n">
        <v>26</v>
      </c>
      <c r="C31" s="24" t="s">
        <v>110</v>
      </c>
      <c r="D31" s="38"/>
      <c r="E31" s="24"/>
      <c r="F31" s="24"/>
    </row>
    <row r="32" customFormat="false" ht="18.75" hidden="false" customHeight="true" outlineLevel="0" collapsed="false">
      <c r="A32" s="19"/>
      <c r="B32" s="23" t="n">
        <v>27</v>
      </c>
      <c r="C32" s="24" t="s">
        <v>111</v>
      </c>
      <c r="D32" s="38"/>
      <c r="E32" s="24"/>
      <c r="F32" s="24"/>
    </row>
    <row r="33" customFormat="false" ht="18.75" hidden="false" customHeight="true" outlineLevel="0" collapsed="false">
      <c r="A33" s="19"/>
      <c r="B33" s="23" t="n">
        <v>28</v>
      </c>
      <c r="C33" s="24" t="s">
        <v>98</v>
      </c>
      <c r="D33" s="38"/>
      <c r="E33" s="24"/>
      <c r="F33" s="24"/>
    </row>
    <row r="34" customFormat="false" ht="18.75" hidden="false" customHeight="true" outlineLevel="0" collapsed="false">
      <c r="A34" s="19"/>
      <c r="B34" s="23" t="n">
        <v>29</v>
      </c>
      <c r="C34" s="24" t="s">
        <v>99</v>
      </c>
      <c r="D34" s="38"/>
      <c r="E34" s="24"/>
      <c r="F34" s="24"/>
    </row>
    <row r="35" customFormat="false" ht="15" hidden="false" customHeight="true" outlineLevel="0" collapsed="false">
      <c r="A35" s="32" t="s">
        <v>68</v>
      </c>
      <c r="B35" s="20"/>
      <c r="C35" s="21" t="s">
        <v>24</v>
      </c>
      <c r="D35" s="39"/>
      <c r="E35" s="22"/>
      <c r="F35" s="22"/>
    </row>
    <row r="36" customFormat="false" ht="18.75" hidden="false" customHeight="true" outlineLevel="0" collapsed="false">
      <c r="A36" s="32"/>
      <c r="B36" s="23" t="n">
        <v>30</v>
      </c>
      <c r="C36" s="24" t="s">
        <v>70</v>
      </c>
      <c r="D36" s="38"/>
      <c r="E36" s="24"/>
      <c r="F36" s="24"/>
      <c r="G36" s="6" t="n">
        <f aca="false">COUNTIF(D36:D38,"Sim")</f>
        <v>0</v>
      </c>
      <c r="H36" s="6" t="n">
        <f aca="false">COUNTIF(D36:D38,"Parcialmente")</f>
        <v>0</v>
      </c>
      <c r="I36" s="6" t="n">
        <f aca="false">COUNTIF(D36:D38,"Não")</f>
        <v>0</v>
      </c>
      <c r="J36" s="6" t="n">
        <f aca="false">COUNTIF(D36:D38,"NA")</f>
        <v>0</v>
      </c>
    </row>
    <row r="37" customFormat="false" ht="18.75" hidden="false" customHeight="true" outlineLevel="0" collapsed="false">
      <c r="A37" s="32"/>
      <c r="B37" s="23" t="n">
        <v>31</v>
      </c>
      <c r="C37" s="24" t="s">
        <v>71</v>
      </c>
      <c r="D37" s="38"/>
      <c r="E37" s="24"/>
      <c r="F37" s="24"/>
    </row>
    <row r="38" customFormat="false" ht="18.75" hidden="false" customHeight="true" outlineLevel="0" collapsed="false">
      <c r="A38" s="32"/>
      <c r="B38" s="23" t="n">
        <v>32</v>
      </c>
      <c r="C38" s="24" t="s">
        <v>72</v>
      </c>
      <c r="D38" s="38"/>
      <c r="E38" s="24"/>
      <c r="F38" s="24"/>
    </row>
    <row r="39" customFormat="false" ht="18.75" hidden="false" customHeight="true" outlineLevel="0" collapsed="false">
      <c r="A39" s="32"/>
      <c r="B39" s="23"/>
      <c r="C39" s="24" t="s">
        <v>112</v>
      </c>
      <c r="D39" s="38"/>
      <c r="E39" s="24"/>
      <c r="F39" s="24"/>
    </row>
    <row r="40" customFormat="false" ht="18.75" hidden="false" customHeight="true" outlineLevel="0" collapsed="false">
      <c r="A40" s="32"/>
      <c r="B40" s="20"/>
      <c r="C40" s="21" t="s">
        <v>25</v>
      </c>
      <c r="D40" s="39"/>
      <c r="E40" s="22"/>
      <c r="F40" s="22"/>
    </row>
    <row r="41" customFormat="false" ht="18.75" hidden="false" customHeight="true" outlineLevel="0" collapsed="false">
      <c r="A41" s="32"/>
      <c r="B41" s="23" t="n">
        <v>33</v>
      </c>
      <c r="C41" s="24" t="s">
        <v>100</v>
      </c>
      <c r="D41" s="38"/>
      <c r="E41" s="24"/>
      <c r="F41" s="24"/>
      <c r="G41" s="6" t="n">
        <f aca="false">COUNTIF(D41:D42,"Sim")</f>
        <v>0</v>
      </c>
      <c r="H41" s="6" t="n">
        <f aca="false">COUNTIF(D41:D42,"Parcialmente")</f>
        <v>0</v>
      </c>
      <c r="I41" s="6" t="n">
        <f aca="false">COUNTIF(D41:D42,"Não")</f>
        <v>0</v>
      </c>
      <c r="J41" s="6" t="n">
        <f aca="false">COUNTIF(D41:D42,"NA")</f>
        <v>0</v>
      </c>
    </row>
    <row r="42" customFormat="false" ht="18.75" hidden="false" customHeight="true" outlineLevel="0" collapsed="false">
      <c r="A42" s="32"/>
      <c r="B42" s="23" t="n">
        <v>34</v>
      </c>
      <c r="C42" s="24" t="s">
        <v>101</v>
      </c>
      <c r="D42" s="38"/>
      <c r="E42" s="24"/>
      <c r="F42" s="24"/>
    </row>
    <row r="43" customFormat="false" ht="18.75" hidden="false" customHeight="true" outlineLevel="0" collapsed="false">
      <c r="B43" s="33"/>
      <c r="C43" s="29"/>
    </row>
    <row r="44" customFormat="false" ht="18.75" hidden="false" customHeight="true" outlineLevel="0" collapsed="false">
      <c r="B44" s="33"/>
      <c r="C44" s="29"/>
    </row>
    <row r="45" customFormat="false" ht="18.75" hidden="false" customHeight="true" outlineLevel="0" collapsed="false">
      <c r="B45" s="33"/>
      <c r="C45" s="29"/>
    </row>
    <row r="46" customFormat="false" ht="18.75" hidden="false" customHeight="true" outlineLevel="0" collapsed="false">
      <c r="B46" s="33"/>
      <c r="C46" s="29"/>
    </row>
    <row r="47" customFormat="false" ht="18.75" hidden="false" customHeight="true" outlineLevel="0" collapsed="false">
      <c r="B47" s="33"/>
      <c r="C47" s="29"/>
    </row>
    <row r="48" customFormat="false" ht="18.75" hidden="false" customHeight="true" outlineLevel="0" collapsed="false">
      <c r="B48" s="33"/>
      <c r="C48" s="29"/>
    </row>
    <row r="49" customFormat="false" ht="18.75" hidden="false" customHeight="true" outlineLevel="0" collapsed="false">
      <c r="B49" s="33"/>
      <c r="C49" s="29"/>
    </row>
    <row r="50" customFormat="false" ht="18.75" hidden="false" customHeight="true" outlineLevel="0" collapsed="false">
      <c r="B50" s="33"/>
      <c r="C50" s="29"/>
    </row>
    <row r="51" customFormat="false" ht="18.75" hidden="false" customHeight="true" outlineLevel="0" collapsed="false"/>
    <row r="52" customFormat="false" ht="18.75" hidden="false" customHeight="true" outlineLevel="0" collapsed="false"/>
    <row r="53" customFormat="false" ht="18.75" hidden="false" customHeight="true" outlineLevel="0" collapsed="false"/>
    <row r="54" customFormat="false" ht="18.75" hidden="false" customHeight="true" outlineLevel="0" collapsed="false"/>
    <row r="55" customFormat="false" ht="18.75" hidden="false" customHeight="true" outlineLevel="0" collapsed="false"/>
    <row r="56" customFormat="false" ht="18.75" hidden="false" customHeight="true" outlineLevel="0" collapsed="false"/>
    <row r="57" customFormat="false" ht="18.75" hidden="false" customHeight="true" outlineLevel="0" collapsed="false"/>
    <row r="58" customFormat="false" ht="18.75" hidden="false" customHeight="true" outlineLevel="0" collapsed="false">
      <c r="B58" s="33"/>
      <c r="C58" s="29"/>
    </row>
    <row r="59" customFormat="false" ht="18.75" hidden="false" customHeight="true" outlineLevel="0" collapsed="false">
      <c r="B59" s="33"/>
      <c r="C59" s="29"/>
    </row>
    <row r="60" customFormat="false" ht="18.75" hidden="false" customHeight="true" outlineLevel="0" collapsed="false">
      <c r="B60" s="33"/>
      <c r="C60" s="29"/>
    </row>
    <row r="61" customFormat="false" ht="18.75" hidden="false" customHeight="true" outlineLevel="0" collapsed="false">
      <c r="B61" s="33"/>
      <c r="C61" s="29"/>
    </row>
    <row r="62" customFormat="false" ht="18.75" hidden="false" customHeight="true" outlineLevel="0" collapsed="false">
      <c r="B62" s="33"/>
      <c r="C62" s="29"/>
    </row>
    <row r="63" customFormat="false" ht="18.75" hidden="false" customHeight="true" outlineLevel="0" collapsed="false">
      <c r="B63" s="33"/>
      <c r="C63" s="29"/>
    </row>
    <row r="64" customFormat="false" ht="18.75" hidden="false" customHeight="true" outlineLevel="0" collapsed="false">
      <c r="B64" s="33"/>
      <c r="C64" s="29"/>
    </row>
    <row r="65" customFormat="false" ht="18.75" hidden="false" customHeight="true" outlineLevel="0" collapsed="false">
      <c r="B65" s="33"/>
      <c r="C65" s="29"/>
    </row>
    <row r="66" customFormat="false" ht="18.75" hidden="false" customHeight="true" outlineLevel="0" collapsed="false">
      <c r="B66" s="33"/>
      <c r="C66" s="29"/>
    </row>
    <row r="67" customFormat="false" ht="18.75" hidden="false" customHeight="true" outlineLevel="0" collapsed="false">
      <c r="B67" s="33"/>
      <c r="C67" s="29"/>
    </row>
    <row r="68" customFormat="false" ht="18.75" hidden="false" customHeight="true" outlineLevel="0" collapsed="false">
      <c r="B68" s="33"/>
      <c r="C68" s="29"/>
    </row>
    <row r="69" customFormat="false" ht="18.75" hidden="false" customHeight="true" outlineLevel="0" collapsed="false">
      <c r="B69" s="33"/>
      <c r="C69" s="29"/>
    </row>
    <row r="70" customFormat="false" ht="18.75" hidden="false" customHeight="true" outlineLevel="0" collapsed="false">
      <c r="B70" s="33"/>
      <c r="C70" s="29"/>
    </row>
    <row r="71" customFormat="false" ht="18.75" hidden="false" customHeight="true" outlineLevel="0" collapsed="false">
      <c r="B71" s="33"/>
      <c r="C71" s="29"/>
    </row>
    <row r="72" customFormat="false" ht="18.75" hidden="false" customHeight="true" outlineLevel="0" collapsed="false">
      <c r="B72" s="33"/>
      <c r="C72" s="29"/>
    </row>
    <row r="73" customFormat="false" ht="18.75" hidden="false" customHeight="true" outlineLevel="0" collapsed="false">
      <c r="B73" s="33"/>
      <c r="C73" s="29"/>
    </row>
    <row r="74" customFormat="false" ht="18.75" hidden="false" customHeight="true" outlineLevel="0" collapsed="false">
      <c r="B74" s="33"/>
      <c r="C74" s="29"/>
    </row>
    <row r="75" customFormat="false" ht="18.75" hidden="false" customHeight="true" outlineLevel="0" collapsed="false">
      <c r="B75" s="33"/>
      <c r="C75" s="29"/>
    </row>
    <row r="76" customFormat="false" ht="18.75" hidden="false" customHeight="true" outlineLevel="0" collapsed="false">
      <c r="B76" s="33"/>
      <c r="C76" s="29"/>
    </row>
    <row r="77" customFormat="false" ht="18.75" hidden="false" customHeight="true" outlineLevel="0" collapsed="false">
      <c r="B77" s="33"/>
      <c r="C77" s="29"/>
    </row>
    <row r="78" customFormat="false" ht="18.75" hidden="false" customHeight="true" outlineLevel="0" collapsed="false">
      <c r="B78" s="33"/>
      <c r="C78" s="29"/>
    </row>
    <row r="79" customFormat="false" ht="18.75" hidden="false" customHeight="true" outlineLevel="0" collapsed="false">
      <c r="B79" s="33"/>
      <c r="C79" s="29"/>
    </row>
    <row r="80" customFormat="false" ht="18.75" hidden="false" customHeight="true" outlineLevel="0" collapsed="false">
      <c r="B80" s="33"/>
      <c r="C80" s="29"/>
    </row>
    <row r="81" customFormat="false" ht="18.75" hidden="false" customHeight="true" outlineLevel="0" collapsed="false">
      <c r="B81" s="33"/>
      <c r="C81" s="29"/>
    </row>
    <row r="82" customFormat="false" ht="18.75" hidden="false" customHeight="true" outlineLevel="0" collapsed="false">
      <c r="B82" s="33"/>
      <c r="C82" s="29"/>
    </row>
    <row r="83" customFormat="false" ht="18.75" hidden="false" customHeight="true" outlineLevel="0" collapsed="false">
      <c r="B83" s="33"/>
      <c r="C83" s="29"/>
    </row>
    <row r="84" customFormat="false" ht="18.75" hidden="false" customHeight="true" outlineLevel="0" collapsed="false">
      <c r="B84" s="33"/>
      <c r="C84" s="29"/>
    </row>
    <row r="85" customFormat="false" ht="18.75" hidden="false" customHeight="true" outlineLevel="0" collapsed="false">
      <c r="B85" s="33"/>
      <c r="C85" s="29"/>
    </row>
    <row r="86" customFormat="false" ht="18.75" hidden="false" customHeight="true" outlineLevel="0" collapsed="false">
      <c r="B86" s="33"/>
      <c r="C86" s="29"/>
    </row>
    <row r="87" customFormat="false" ht="18.75" hidden="false" customHeight="true" outlineLevel="0" collapsed="false">
      <c r="B87" s="33"/>
      <c r="C87" s="29"/>
    </row>
    <row r="88" customFormat="false" ht="18.75" hidden="false" customHeight="true" outlineLevel="0" collapsed="false">
      <c r="B88" s="33"/>
      <c r="C88" s="29"/>
    </row>
    <row r="89" customFormat="false" ht="18.75" hidden="false" customHeight="true" outlineLevel="0" collapsed="false">
      <c r="B89" s="33"/>
      <c r="C89" s="29"/>
    </row>
    <row r="90" customFormat="false" ht="18.75" hidden="false" customHeight="true" outlineLevel="0" collapsed="false">
      <c r="B90" s="33"/>
      <c r="C90" s="29"/>
    </row>
    <row r="91" customFormat="false" ht="18.75" hidden="false" customHeight="true" outlineLevel="0" collapsed="false">
      <c r="B91" s="33"/>
      <c r="C91" s="29"/>
    </row>
    <row r="92" customFormat="false" ht="18.75" hidden="false" customHeight="true" outlineLevel="0" collapsed="false">
      <c r="B92" s="33"/>
      <c r="C92" s="29"/>
    </row>
    <row r="93" customFormat="false" ht="18.75" hidden="false" customHeight="true" outlineLevel="0" collapsed="false">
      <c r="B93" s="33"/>
      <c r="C93" s="29"/>
    </row>
    <row r="94" customFormat="false" ht="18.75" hidden="false" customHeight="true" outlineLevel="0" collapsed="false">
      <c r="B94" s="33"/>
      <c r="C94" s="29"/>
    </row>
    <row r="95" customFormat="false" ht="18.75" hidden="false" customHeight="true" outlineLevel="0" collapsed="false">
      <c r="B95" s="33"/>
      <c r="C95" s="29"/>
    </row>
    <row r="96" customFormat="false" ht="18.75" hidden="false" customHeight="true" outlineLevel="0" collapsed="false">
      <c r="B96" s="33"/>
      <c r="C96" s="29"/>
    </row>
    <row r="97" customFormat="false" ht="18.75" hidden="false" customHeight="true" outlineLevel="0" collapsed="false">
      <c r="B97" s="33"/>
      <c r="C97" s="29"/>
    </row>
    <row r="98" customFormat="false" ht="18.75" hidden="false" customHeight="true" outlineLevel="0" collapsed="false">
      <c r="B98" s="33"/>
      <c r="C98" s="29"/>
    </row>
    <row r="99" customFormat="false" ht="18.75" hidden="false" customHeight="true" outlineLevel="0" collapsed="false">
      <c r="B99" s="33"/>
      <c r="C99" s="29"/>
    </row>
    <row r="100" customFormat="false" ht="18.75" hidden="false" customHeight="true" outlineLevel="0" collapsed="false">
      <c r="B100" s="33"/>
      <c r="C100" s="29"/>
    </row>
    <row r="101" customFormat="false" ht="18.75" hidden="false" customHeight="true" outlineLevel="0" collapsed="false">
      <c r="B101" s="33"/>
      <c r="C101" s="29"/>
    </row>
    <row r="102" customFormat="false" ht="18.75" hidden="false" customHeight="true" outlineLevel="0" collapsed="false">
      <c r="B102" s="33"/>
      <c r="C102" s="29"/>
    </row>
    <row r="103" customFormat="false" ht="18.75" hidden="false" customHeight="true" outlineLevel="0" collapsed="false">
      <c r="B103" s="33"/>
      <c r="C103" s="29"/>
    </row>
    <row r="104" customFormat="false" ht="18.75" hidden="false" customHeight="true" outlineLevel="0" collapsed="false">
      <c r="B104" s="33"/>
      <c r="C104" s="29"/>
    </row>
    <row r="105" customFormat="false" ht="18.75" hidden="false" customHeight="true" outlineLevel="0" collapsed="false">
      <c r="B105" s="33"/>
      <c r="C105" s="29"/>
    </row>
    <row r="106" customFormat="false" ht="18.75" hidden="false" customHeight="true" outlineLevel="0" collapsed="false">
      <c r="B106" s="33"/>
      <c r="C106" s="29"/>
    </row>
    <row r="107" customFormat="false" ht="18.75" hidden="false" customHeight="true" outlineLevel="0" collapsed="false">
      <c r="B107" s="33"/>
      <c r="C107" s="29"/>
    </row>
    <row r="108" customFormat="false" ht="18.75" hidden="false" customHeight="true" outlineLevel="0" collapsed="false">
      <c r="B108" s="33"/>
      <c r="C108" s="29"/>
    </row>
    <row r="109" customFormat="false" ht="18.75" hidden="false" customHeight="true" outlineLevel="0" collapsed="false">
      <c r="B109" s="33"/>
      <c r="C109" s="29"/>
    </row>
    <row r="110" customFormat="false" ht="18.75" hidden="false" customHeight="true" outlineLevel="0" collapsed="false">
      <c r="B110" s="33"/>
      <c r="C110" s="29"/>
    </row>
    <row r="111" customFormat="false" ht="18.75" hidden="false" customHeight="true" outlineLevel="0" collapsed="false">
      <c r="B111" s="33"/>
      <c r="C111" s="29"/>
    </row>
    <row r="112" customFormat="false" ht="18.75" hidden="false" customHeight="true" outlineLevel="0" collapsed="false">
      <c r="B112" s="33"/>
      <c r="C112" s="29"/>
    </row>
    <row r="113" customFormat="false" ht="18.75" hidden="false" customHeight="true" outlineLevel="0" collapsed="false">
      <c r="B113" s="33"/>
      <c r="C113" s="29"/>
    </row>
    <row r="114" customFormat="false" ht="18.75" hidden="false" customHeight="true" outlineLevel="0" collapsed="false">
      <c r="B114" s="33"/>
      <c r="C114" s="29"/>
    </row>
    <row r="115" customFormat="false" ht="18.75" hidden="false" customHeight="true" outlineLevel="0" collapsed="false">
      <c r="B115" s="33"/>
      <c r="C115" s="29"/>
    </row>
    <row r="116" customFormat="false" ht="18.75" hidden="false" customHeight="true" outlineLevel="0" collapsed="false">
      <c r="B116" s="33"/>
      <c r="C116" s="29"/>
    </row>
    <row r="117" customFormat="false" ht="18.75" hidden="false" customHeight="true" outlineLevel="0" collapsed="false">
      <c r="B117" s="33"/>
      <c r="C117" s="29"/>
    </row>
    <row r="118" customFormat="false" ht="18.75" hidden="false" customHeight="true" outlineLevel="0" collapsed="false">
      <c r="B118" s="33"/>
      <c r="C118" s="29"/>
    </row>
    <row r="119" customFormat="false" ht="18.75" hidden="false" customHeight="true" outlineLevel="0" collapsed="false">
      <c r="B119" s="33"/>
      <c r="C119" s="29"/>
    </row>
    <row r="120" customFormat="false" ht="18.75" hidden="false" customHeight="true" outlineLevel="0" collapsed="false">
      <c r="B120" s="33"/>
      <c r="C120" s="29"/>
    </row>
    <row r="121" customFormat="false" ht="18.75" hidden="false" customHeight="true" outlineLevel="0" collapsed="false">
      <c r="B121" s="33"/>
      <c r="C121" s="29"/>
    </row>
    <row r="122" customFormat="false" ht="18.75" hidden="false" customHeight="true" outlineLevel="0" collapsed="false">
      <c r="B122" s="33"/>
      <c r="C122" s="29"/>
    </row>
    <row r="123" customFormat="false" ht="18.75" hidden="false" customHeight="true" outlineLevel="0" collapsed="false">
      <c r="B123" s="33"/>
      <c r="C123" s="29"/>
    </row>
    <row r="124" customFormat="false" ht="18.75" hidden="false" customHeight="true" outlineLevel="0" collapsed="false">
      <c r="B124" s="33"/>
      <c r="C124" s="29"/>
    </row>
    <row r="125" customFormat="false" ht="18.75" hidden="false" customHeight="true" outlineLevel="0" collapsed="false">
      <c r="B125" s="33"/>
      <c r="C125" s="29"/>
    </row>
    <row r="126" customFormat="false" ht="18.75" hidden="false" customHeight="true" outlineLevel="0" collapsed="false">
      <c r="B126" s="33"/>
      <c r="C126" s="29"/>
    </row>
    <row r="127" customFormat="false" ht="18.75" hidden="false" customHeight="true" outlineLevel="0" collapsed="false">
      <c r="B127" s="33"/>
      <c r="C127" s="29"/>
    </row>
    <row r="128" customFormat="false" ht="18.75" hidden="false" customHeight="true" outlineLevel="0" collapsed="false">
      <c r="B128" s="33"/>
      <c r="C128" s="29"/>
    </row>
    <row r="129" customFormat="false" ht="18.75" hidden="false" customHeight="true" outlineLevel="0" collapsed="false">
      <c r="B129" s="33"/>
      <c r="C129" s="29"/>
    </row>
    <row r="130" customFormat="false" ht="18.75" hidden="false" customHeight="true" outlineLevel="0" collapsed="false">
      <c r="B130" s="33"/>
      <c r="C130" s="29"/>
    </row>
    <row r="131" customFormat="false" ht="18.75" hidden="false" customHeight="true" outlineLevel="0" collapsed="false">
      <c r="B131" s="33"/>
      <c r="C131" s="29"/>
    </row>
    <row r="132" customFormat="false" ht="18.75" hidden="false" customHeight="true" outlineLevel="0" collapsed="false">
      <c r="B132" s="33"/>
      <c r="C132" s="29"/>
    </row>
    <row r="133" customFormat="false" ht="18.75" hidden="false" customHeight="true" outlineLevel="0" collapsed="false">
      <c r="B133" s="33"/>
      <c r="C133" s="29"/>
    </row>
    <row r="134" customFormat="false" ht="18.75" hidden="false" customHeight="true" outlineLevel="0" collapsed="false">
      <c r="B134" s="33"/>
      <c r="C134" s="29"/>
    </row>
    <row r="135" customFormat="false" ht="18.75" hidden="false" customHeight="true" outlineLevel="0" collapsed="false">
      <c r="B135" s="33"/>
      <c r="C135" s="29"/>
    </row>
    <row r="136" customFormat="false" ht="18.75" hidden="false" customHeight="true" outlineLevel="0" collapsed="false">
      <c r="B136" s="33"/>
      <c r="C136" s="29"/>
    </row>
    <row r="137" customFormat="false" ht="18.75" hidden="false" customHeight="true" outlineLevel="0" collapsed="false">
      <c r="B137" s="33"/>
      <c r="C137" s="29"/>
    </row>
    <row r="138" customFormat="false" ht="18.75" hidden="false" customHeight="true" outlineLevel="0" collapsed="false">
      <c r="B138" s="33"/>
      <c r="C138" s="29"/>
    </row>
    <row r="139" customFormat="false" ht="18.75" hidden="false" customHeight="true" outlineLevel="0" collapsed="false">
      <c r="B139" s="33"/>
      <c r="C139" s="29"/>
    </row>
    <row r="140" customFormat="false" ht="18.75" hidden="false" customHeight="true" outlineLevel="0" collapsed="false">
      <c r="B140" s="33"/>
      <c r="C140" s="29"/>
    </row>
    <row r="141" customFormat="false" ht="18.75" hidden="false" customHeight="true" outlineLevel="0" collapsed="false">
      <c r="B141" s="33"/>
      <c r="C141" s="29"/>
    </row>
    <row r="142" customFormat="false" ht="18.75" hidden="false" customHeight="true" outlineLevel="0" collapsed="false">
      <c r="B142" s="33"/>
      <c r="C142" s="29"/>
    </row>
    <row r="143" customFormat="false" ht="18.75" hidden="false" customHeight="true" outlineLevel="0" collapsed="false">
      <c r="B143" s="33"/>
      <c r="C143" s="29"/>
    </row>
    <row r="144" customFormat="false" ht="18.75" hidden="false" customHeight="true" outlineLevel="0" collapsed="false">
      <c r="B144" s="33"/>
      <c r="C144" s="29"/>
    </row>
    <row r="145" customFormat="false" ht="18.75" hidden="false" customHeight="true" outlineLevel="0" collapsed="false">
      <c r="B145" s="33"/>
      <c r="C145" s="29"/>
    </row>
    <row r="146" customFormat="false" ht="18.75" hidden="false" customHeight="true" outlineLevel="0" collapsed="false">
      <c r="B146" s="33"/>
      <c r="C146" s="29"/>
    </row>
    <row r="147" customFormat="false" ht="18.75" hidden="false" customHeight="true" outlineLevel="0" collapsed="false">
      <c r="B147" s="33"/>
      <c r="C147" s="29"/>
    </row>
    <row r="148" customFormat="false" ht="18.75" hidden="false" customHeight="true" outlineLevel="0" collapsed="false">
      <c r="B148" s="33"/>
      <c r="C148" s="29"/>
    </row>
    <row r="149" customFormat="false" ht="18.75" hidden="false" customHeight="true" outlineLevel="0" collapsed="false">
      <c r="B149" s="33"/>
      <c r="C149" s="29"/>
    </row>
    <row r="150" customFormat="false" ht="18.75" hidden="false" customHeight="true" outlineLevel="0" collapsed="false">
      <c r="B150" s="33"/>
      <c r="C150" s="29"/>
    </row>
    <row r="151" customFormat="false" ht="18.75" hidden="false" customHeight="true" outlineLevel="0" collapsed="false">
      <c r="B151" s="33"/>
      <c r="C151" s="29"/>
    </row>
    <row r="152" customFormat="false" ht="18.75" hidden="false" customHeight="true" outlineLevel="0" collapsed="false">
      <c r="B152" s="33"/>
      <c r="C152" s="29"/>
    </row>
    <row r="153" customFormat="false" ht="18.75" hidden="false" customHeight="true" outlineLevel="0" collapsed="false">
      <c r="B153" s="33"/>
      <c r="C153" s="29"/>
    </row>
    <row r="154" customFormat="false" ht="18.75" hidden="false" customHeight="true" outlineLevel="0" collapsed="false">
      <c r="B154" s="33"/>
      <c r="C154" s="29"/>
    </row>
    <row r="155" customFormat="false" ht="18.75" hidden="false" customHeight="true" outlineLevel="0" collapsed="false">
      <c r="B155" s="33"/>
      <c r="C155" s="29"/>
    </row>
    <row r="156" customFormat="false" ht="18.75" hidden="false" customHeight="true" outlineLevel="0" collapsed="false">
      <c r="B156" s="33"/>
      <c r="C156" s="29"/>
    </row>
    <row r="157" customFormat="false" ht="18.75" hidden="false" customHeight="true" outlineLevel="0" collapsed="false">
      <c r="B157" s="33"/>
      <c r="C157" s="29"/>
    </row>
    <row r="158" customFormat="false" ht="18.75" hidden="false" customHeight="true" outlineLevel="0" collapsed="false">
      <c r="B158" s="33"/>
      <c r="C158" s="29"/>
    </row>
    <row r="159" customFormat="false" ht="18.75" hidden="false" customHeight="true" outlineLevel="0" collapsed="false">
      <c r="B159" s="33"/>
      <c r="C159" s="29"/>
    </row>
    <row r="160" customFormat="false" ht="18.75" hidden="false" customHeight="true" outlineLevel="0" collapsed="false">
      <c r="B160" s="33"/>
      <c r="C160" s="29"/>
    </row>
    <row r="161" customFormat="false" ht="18.75" hidden="false" customHeight="true" outlineLevel="0" collapsed="false">
      <c r="B161" s="33"/>
      <c r="C161" s="29"/>
    </row>
    <row r="162" customFormat="false" ht="18.75" hidden="false" customHeight="true" outlineLevel="0" collapsed="false">
      <c r="B162" s="33"/>
      <c r="C162" s="29"/>
    </row>
    <row r="163" customFormat="false" ht="18.75" hidden="false" customHeight="true" outlineLevel="0" collapsed="false">
      <c r="B163" s="33"/>
      <c r="C163" s="29"/>
    </row>
    <row r="164" customFormat="false" ht="18.75" hidden="false" customHeight="true" outlineLevel="0" collapsed="false">
      <c r="B164" s="33"/>
      <c r="C164" s="29"/>
    </row>
    <row r="165" customFormat="false" ht="18.75" hidden="false" customHeight="true" outlineLevel="0" collapsed="false">
      <c r="B165" s="33"/>
      <c r="C165" s="29"/>
    </row>
    <row r="166" customFormat="false" ht="18.75" hidden="false" customHeight="true" outlineLevel="0" collapsed="false">
      <c r="B166" s="33"/>
      <c r="C166" s="29"/>
    </row>
    <row r="167" customFormat="false" ht="18.75" hidden="false" customHeight="true" outlineLevel="0" collapsed="false">
      <c r="B167" s="33"/>
      <c r="C167" s="29"/>
    </row>
    <row r="168" customFormat="false" ht="18.75" hidden="false" customHeight="true" outlineLevel="0" collapsed="false">
      <c r="B168" s="33"/>
      <c r="C168" s="29"/>
    </row>
    <row r="169" customFormat="false" ht="18.75" hidden="false" customHeight="true" outlineLevel="0" collapsed="false">
      <c r="B169" s="33"/>
      <c r="C169" s="29"/>
    </row>
    <row r="170" customFormat="false" ht="18.75" hidden="false" customHeight="true" outlineLevel="0" collapsed="false">
      <c r="B170" s="33"/>
      <c r="C170" s="29"/>
    </row>
    <row r="171" customFormat="false" ht="18.75" hidden="false" customHeight="true" outlineLevel="0" collapsed="false">
      <c r="B171" s="33"/>
      <c r="C171" s="29"/>
    </row>
    <row r="172" customFormat="false" ht="18.75" hidden="false" customHeight="true" outlineLevel="0" collapsed="false">
      <c r="B172" s="33"/>
      <c r="C172" s="29"/>
    </row>
    <row r="173" customFormat="false" ht="18.75" hidden="false" customHeight="true" outlineLevel="0" collapsed="false">
      <c r="B173" s="33"/>
      <c r="C173" s="29"/>
    </row>
    <row r="174" customFormat="false" ht="18.75" hidden="false" customHeight="true" outlineLevel="0" collapsed="false">
      <c r="B174" s="33"/>
      <c r="C174" s="29"/>
    </row>
    <row r="175" customFormat="false" ht="18.75" hidden="false" customHeight="true" outlineLevel="0" collapsed="false">
      <c r="B175" s="33"/>
      <c r="C175" s="29"/>
    </row>
    <row r="176" customFormat="false" ht="18.75" hidden="false" customHeight="true" outlineLevel="0" collapsed="false">
      <c r="B176" s="33"/>
      <c r="C176" s="29"/>
    </row>
    <row r="177" customFormat="false" ht="18.75" hidden="false" customHeight="true" outlineLevel="0" collapsed="false">
      <c r="B177" s="33"/>
      <c r="C177" s="29"/>
    </row>
    <row r="178" customFormat="false" ht="18.75" hidden="false" customHeight="true" outlineLevel="0" collapsed="false">
      <c r="B178" s="33"/>
      <c r="C178" s="29"/>
    </row>
    <row r="179" customFormat="false" ht="18.75" hidden="false" customHeight="true" outlineLevel="0" collapsed="false">
      <c r="B179" s="33"/>
      <c r="C179" s="29"/>
    </row>
    <row r="180" customFormat="false" ht="18.75" hidden="false" customHeight="true" outlineLevel="0" collapsed="false">
      <c r="B180" s="33"/>
      <c r="C180" s="29"/>
    </row>
    <row r="181" customFormat="false" ht="18.75" hidden="false" customHeight="true" outlineLevel="0" collapsed="false">
      <c r="B181" s="33"/>
      <c r="C181" s="29"/>
    </row>
    <row r="182" customFormat="false" ht="18.75" hidden="false" customHeight="true" outlineLevel="0" collapsed="false">
      <c r="B182" s="33"/>
      <c r="C182" s="29"/>
    </row>
    <row r="183" customFormat="false" ht="18.75" hidden="false" customHeight="true" outlineLevel="0" collapsed="false">
      <c r="B183" s="33"/>
      <c r="C183" s="29"/>
    </row>
    <row r="184" customFormat="false" ht="18.75" hidden="false" customHeight="true" outlineLevel="0" collapsed="false">
      <c r="B184" s="33"/>
      <c r="C184" s="29"/>
    </row>
    <row r="185" customFormat="false" ht="18.75" hidden="false" customHeight="true" outlineLevel="0" collapsed="false">
      <c r="B185" s="33"/>
      <c r="C185" s="29"/>
    </row>
    <row r="186" customFormat="false" ht="18.75" hidden="false" customHeight="true" outlineLevel="0" collapsed="false">
      <c r="B186" s="33"/>
      <c r="C186" s="29"/>
    </row>
    <row r="187" customFormat="false" ht="18.75" hidden="false" customHeight="true" outlineLevel="0" collapsed="false">
      <c r="B187" s="33"/>
      <c r="C187" s="29"/>
    </row>
    <row r="188" customFormat="false" ht="18.75" hidden="false" customHeight="true" outlineLevel="0" collapsed="false">
      <c r="B188" s="33"/>
      <c r="C188" s="29"/>
    </row>
    <row r="189" customFormat="false" ht="18.75" hidden="false" customHeight="true" outlineLevel="0" collapsed="false">
      <c r="B189" s="33"/>
      <c r="C189" s="29"/>
    </row>
    <row r="190" customFormat="false" ht="18.75" hidden="false" customHeight="true" outlineLevel="0" collapsed="false">
      <c r="B190" s="33"/>
      <c r="C190" s="29"/>
    </row>
    <row r="191" customFormat="false" ht="18.75" hidden="false" customHeight="true" outlineLevel="0" collapsed="false">
      <c r="B191" s="33"/>
      <c r="C191" s="29"/>
    </row>
    <row r="192" customFormat="false" ht="18.75" hidden="false" customHeight="true" outlineLevel="0" collapsed="false">
      <c r="B192" s="33"/>
      <c r="C192" s="29"/>
    </row>
    <row r="193" customFormat="false" ht="18.75" hidden="false" customHeight="true" outlineLevel="0" collapsed="false">
      <c r="B193" s="33"/>
      <c r="C193" s="29"/>
    </row>
    <row r="194" customFormat="false" ht="18.75" hidden="false" customHeight="true" outlineLevel="0" collapsed="false">
      <c r="B194" s="33"/>
      <c r="C194" s="29"/>
    </row>
    <row r="195" customFormat="false" ht="18.75" hidden="false" customHeight="true" outlineLevel="0" collapsed="false">
      <c r="B195" s="33"/>
      <c r="C195" s="29"/>
    </row>
    <row r="196" customFormat="false" ht="18.75" hidden="false" customHeight="true" outlineLevel="0" collapsed="false">
      <c r="B196" s="33"/>
      <c r="C196" s="29"/>
    </row>
    <row r="197" customFormat="false" ht="18.75" hidden="false" customHeight="true" outlineLevel="0" collapsed="false">
      <c r="B197" s="33"/>
      <c r="C197" s="29"/>
    </row>
    <row r="198" customFormat="false" ht="18.75" hidden="false" customHeight="true" outlineLevel="0" collapsed="false">
      <c r="B198" s="33"/>
      <c r="C198" s="29"/>
    </row>
    <row r="199" customFormat="false" ht="18.75" hidden="false" customHeight="true" outlineLevel="0" collapsed="false">
      <c r="B199" s="33"/>
      <c r="C199" s="29"/>
    </row>
    <row r="200" customFormat="false" ht="18.75" hidden="false" customHeight="true" outlineLevel="0" collapsed="false">
      <c r="B200" s="33"/>
      <c r="C200" s="29"/>
    </row>
    <row r="201" customFormat="false" ht="18.75" hidden="false" customHeight="true" outlineLevel="0" collapsed="false">
      <c r="B201" s="33"/>
      <c r="C201" s="29"/>
    </row>
    <row r="202" customFormat="false" ht="18.75" hidden="false" customHeight="true" outlineLevel="0" collapsed="false">
      <c r="B202" s="33"/>
      <c r="C202" s="29"/>
    </row>
    <row r="203" customFormat="false" ht="18.75" hidden="false" customHeight="true" outlineLevel="0" collapsed="false">
      <c r="B203" s="33"/>
      <c r="C203" s="29"/>
    </row>
    <row r="204" customFormat="false" ht="18.75" hidden="false" customHeight="true" outlineLevel="0" collapsed="false">
      <c r="B204" s="33"/>
      <c r="C204" s="29"/>
    </row>
    <row r="205" customFormat="false" ht="18.75" hidden="false" customHeight="true" outlineLevel="0" collapsed="false">
      <c r="B205" s="33"/>
      <c r="C205" s="29"/>
    </row>
    <row r="206" customFormat="false" ht="18.75" hidden="false" customHeight="true" outlineLevel="0" collapsed="false">
      <c r="B206" s="33"/>
      <c r="C206" s="29"/>
    </row>
    <row r="207" customFormat="false" ht="18.75" hidden="false" customHeight="true" outlineLevel="0" collapsed="false">
      <c r="B207" s="33"/>
      <c r="C207" s="29"/>
    </row>
    <row r="208" customFormat="false" ht="18.75" hidden="false" customHeight="true" outlineLevel="0" collapsed="false">
      <c r="B208" s="33"/>
      <c r="C208" s="29"/>
    </row>
    <row r="209" customFormat="false" ht="18.75" hidden="false" customHeight="true" outlineLevel="0" collapsed="false">
      <c r="B209" s="33"/>
      <c r="C209" s="29"/>
    </row>
    <row r="210" customFormat="false" ht="18.75" hidden="false" customHeight="true" outlineLevel="0" collapsed="false">
      <c r="B210" s="33"/>
      <c r="C210" s="29"/>
    </row>
    <row r="211" customFormat="false" ht="18.75" hidden="false" customHeight="true" outlineLevel="0" collapsed="false">
      <c r="B211" s="33"/>
      <c r="C211" s="29"/>
    </row>
    <row r="212" customFormat="false" ht="18.75" hidden="false" customHeight="true" outlineLevel="0" collapsed="false">
      <c r="B212" s="33"/>
      <c r="C212" s="29"/>
    </row>
    <row r="213" customFormat="false" ht="18.75" hidden="false" customHeight="true" outlineLevel="0" collapsed="false">
      <c r="B213" s="33"/>
      <c r="C213" s="29"/>
    </row>
    <row r="214" customFormat="false" ht="18.75" hidden="false" customHeight="true" outlineLevel="0" collapsed="false">
      <c r="B214" s="33"/>
      <c r="C214" s="29"/>
    </row>
    <row r="215" customFormat="false" ht="18.75" hidden="false" customHeight="true" outlineLevel="0" collapsed="false">
      <c r="B215" s="33"/>
      <c r="C215" s="29"/>
    </row>
    <row r="216" customFormat="false" ht="18.75" hidden="false" customHeight="true" outlineLevel="0" collapsed="false">
      <c r="B216" s="33"/>
      <c r="C216" s="29"/>
    </row>
    <row r="217" customFormat="false" ht="18.75" hidden="false" customHeight="true" outlineLevel="0" collapsed="false">
      <c r="B217" s="33"/>
      <c r="C217" s="29"/>
    </row>
    <row r="218" customFormat="false" ht="18.75" hidden="false" customHeight="true" outlineLevel="0" collapsed="false">
      <c r="B218" s="33"/>
      <c r="C218" s="29"/>
    </row>
    <row r="219" customFormat="false" ht="18.75" hidden="false" customHeight="true" outlineLevel="0" collapsed="false">
      <c r="B219" s="33"/>
      <c r="C219" s="29"/>
    </row>
    <row r="220" customFormat="false" ht="18.75" hidden="false" customHeight="true" outlineLevel="0" collapsed="false">
      <c r="B220" s="33"/>
      <c r="C220" s="29"/>
    </row>
    <row r="221" customFormat="false" ht="18.75" hidden="false" customHeight="true" outlineLevel="0" collapsed="false">
      <c r="B221" s="33"/>
      <c r="C221" s="29"/>
    </row>
    <row r="222" customFormat="false" ht="18.75" hidden="false" customHeight="true" outlineLevel="0" collapsed="false">
      <c r="B222" s="33"/>
      <c r="C222" s="29"/>
    </row>
    <row r="223" customFormat="false" ht="18.75" hidden="false" customHeight="true" outlineLevel="0" collapsed="false">
      <c r="B223" s="33"/>
      <c r="C223" s="29"/>
    </row>
    <row r="224" customFormat="false" ht="18.75" hidden="false" customHeight="true" outlineLevel="0" collapsed="false">
      <c r="B224" s="33"/>
      <c r="C224" s="29"/>
    </row>
    <row r="225" customFormat="false" ht="18.75" hidden="false" customHeight="true" outlineLevel="0" collapsed="false">
      <c r="B225" s="33"/>
      <c r="C225" s="29"/>
    </row>
    <row r="226" customFormat="false" ht="18.75" hidden="false" customHeight="true" outlineLevel="0" collapsed="false">
      <c r="B226" s="33"/>
      <c r="C226" s="29"/>
    </row>
    <row r="227" customFormat="false" ht="18.75" hidden="false" customHeight="true" outlineLevel="0" collapsed="false">
      <c r="B227" s="33"/>
      <c r="C227" s="29"/>
    </row>
    <row r="228" customFormat="false" ht="18.75" hidden="false" customHeight="true" outlineLevel="0" collapsed="false">
      <c r="B228" s="33"/>
      <c r="C228" s="29"/>
    </row>
    <row r="229" customFormat="false" ht="18.75" hidden="false" customHeight="true" outlineLevel="0" collapsed="false">
      <c r="B229" s="33"/>
      <c r="C229" s="29"/>
    </row>
    <row r="230" customFormat="false" ht="18.75" hidden="false" customHeight="true" outlineLevel="0" collapsed="false">
      <c r="B230" s="33"/>
      <c r="C230" s="29"/>
    </row>
    <row r="231" customFormat="false" ht="18.75" hidden="false" customHeight="true" outlineLevel="0" collapsed="false">
      <c r="B231" s="33"/>
      <c r="C231" s="29"/>
    </row>
    <row r="232" customFormat="false" ht="18.75" hidden="false" customHeight="true" outlineLevel="0" collapsed="false">
      <c r="B232" s="33"/>
      <c r="C232" s="29"/>
    </row>
    <row r="233" customFormat="false" ht="18.75" hidden="false" customHeight="true" outlineLevel="0" collapsed="false">
      <c r="B233" s="33"/>
      <c r="C233" s="29"/>
    </row>
    <row r="234" customFormat="false" ht="18.75" hidden="false" customHeight="true" outlineLevel="0" collapsed="false">
      <c r="B234" s="33"/>
      <c r="C234" s="29"/>
    </row>
    <row r="235" customFormat="false" ht="18.75" hidden="false" customHeight="true" outlineLevel="0" collapsed="false">
      <c r="B235" s="33"/>
      <c r="C235" s="29"/>
    </row>
    <row r="236" customFormat="false" ht="18.75" hidden="false" customHeight="true" outlineLevel="0" collapsed="false">
      <c r="B236" s="33"/>
      <c r="C236" s="29"/>
    </row>
    <row r="237" customFormat="false" ht="18.75" hidden="false" customHeight="true" outlineLevel="0" collapsed="false">
      <c r="B237" s="33"/>
      <c r="C237" s="29"/>
    </row>
    <row r="238" customFormat="false" ht="18.75" hidden="false" customHeight="true" outlineLevel="0" collapsed="false">
      <c r="B238" s="33"/>
      <c r="C238" s="29"/>
    </row>
    <row r="239" customFormat="false" ht="18.75" hidden="false" customHeight="true" outlineLevel="0" collapsed="false">
      <c r="B239" s="33"/>
      <c r="C239" s="29"/>
    </row>
    <row r="240" customFormat="false" ht="18.75" hidden="false" customHeight="true" outlineLevel="0" collapsed="false">
      <c r="B240" s="33"/>
      <c r="C240" s="29"/>
    </row>
    <row r="241" customFormat="false" ht="18.75" hidden="false" customHeight="true" outlineLevel="0" collapsed="false">
      <c r="B241" s="33"/>
      <c r="C241" s="29"/>
    </row>
    <row r="242" customFormat="false" ht="18.75" hidden="false" customHeight="true" outlineLevel="0" collapsed="false">
      <c r="B242" s="33"/>
      <c r="C242" s="29"/>
    </row>
    <row r="243" customFormat="false" ht="18.75" hidden="false" customHeight="true" outlineLevel="0" collapsed="false">
      <c r="B243" s="33"/>
      <c r="C243" s="29"/>
    </row>
    <row r="244" customFormat="false" ht="18.75" hidden="false" customHeight="true" outlineLevel="0" collapsed="false">
      <c r="B244" s="33"/>
      <c r="C244" s="29"/>
    </row>
    <row r="245" customFormat="false" ht="18.75" hidden="false" customHeight="true" outlineLevel="0" collapsed="false">
      <c r="B245" s="33"/>
      <c r="C245" s="29"/>
    </row>
    <row r="246" customFormat="false" ht="18.75" hidden="false" customHeight="true" outlineLevel="0" collapsed="false">
      <c r="B246" s="33"/>
      <c r="C246" s="29"/>
    </row>
    <row r="247" customFormat="false" ht="18.75" hidden="false" customHeight="true" outlineLevel="0" collapsed="false">
      <c r="B247" s="33"/>
      <c r="C247" s="29"/>
    </row>
    <row r="248" customFormat="false" ht="18.75" hidden="false" customHeight="true" outlineLevel="0" collapsed="false">
      <c r="B248" s="33"/>
      <c r="C248" s="29"/>
    </row>
    <row r="249" customFormat="false" ht="18.75" hidden="false" customHeight="true" outlineLevel="0" collapsed="false">
      <c r="B249" s="33"/>
      <c r="C249" s="29"/>
    </row>
    <row r="250" customFormat="false" ht="18.75" hidden="false" customHeight="true" outlineLevel="0" collapsed="false">
      <c r="B250" s="33"/>
      <c r="C250" s="29"/>
    </row>
    <row r="251" customFormat="false" ht="18.75" hidden="false" customHeight="true" outlineLevel="0" collapsed="false">
      <c r="B251" s="33"/>
      <c r="C251" s="29"/>
    </row>
    <row r="252" customFormat="false" ht="18.75" hidden="false" customHeight="true" outlineLevel="0" collapsed="false">
      <c r="B252" s="33"/>
      <c r="C252" s="29"/>
    </row>
    <row r="253" customFormat="false" ht="18.75" hidden="false" customHeight="true" outlineLevel="0" collapsed="false">
      <c r="B253" s="33"/>
      <c r="C253" s="29"/>
    </row>
    <row r="254" customFormat="false" ht="18.75" hidden="false" customHeight="true" outlineLevel="0" collapsed="false">
      <c r="B254" s="33"/>
      <c r="C254" s="29"/>
    </row>
    <row r="255" customFormat="false" ht="18.75" hidden="false" customHeight="true" outlineLevel="0" collapsed="false">
      <c r="B255" s="33"/>
      <c r="C255" s="29"/>
    </row>
    <row r="256" customFormat="false" ht="18.75" hidden="false" customHeight="true" outlineLevel="0" collapsed="false">
      <c r="B256" s="33"/>
      <c r="C256" s="29"/>
    </row>
    <row r="257" customFormat="false" ht="18.75" hidden="false" customHeight="true" outlineLevel="0" collapsed="false">
      <c r="B257" s="33"/>
      <c r="C257" s="29"/>
    </row>
    <row r="258" customFormat="false" ht="18.75" hidden="false" customHeight="true" outlineLevel="0" collapsed="false">
      <c r="B258" s="33"/>
      <c r="C258" s="29"/>
    </row>
    <row r="259" customFormat="false" ht="18.75" hidden="false" customHeight="true" outlineLevel="0" collapsed="false">
      <c r="B259" s="33"/>
      <c r="C259" s="29"/>
    </row>
    <row r="260" customFormat="false" ht="18.75" hidden="false" customHeight="true" outlineLevel="0" collapsed="false">
      <c r="B260" s="33"/>
      <c r="C260" s="29"/>
    </row>
    <row r="261" customFormat="false" ht="18.75" hidden="false" customHeight="true" outlineLevel="0" collapsed="false">
      <c r="B261" s="33"/>
      <c r="C261" s="29"/>
    </row>
    <row r="262" customFormat="false" ht="18.75" hidden="false" customHeight="true" outlineLevel="0" collapsed="false">
      <c r="B262" s="33"/>
      <c r="C262" s="29"/>
    </row>
    <row r="263" customFormat="false" ht="18.75" hidden="false" customHeight="true" outlineLevel="0" collapsed="false">
      <c r="B263" s="33"/>
      <c r="C263" s="29"/>
    </row>
    <row r="264" customFormat="false" ht="18.75" hidden="false" customHeight="true" outlineLevel="0" collapsed="false">
      <c r="B264" s="33"/>
      <c r="C264" s="29"/>
    </row>
    <row r="265" customFormat="false" ht="18.75" hidden="false" customHeight="true" outlineLevel="0" collapsed="false">
      <c r="B265" s="33"/>
      <c r="C265" s="29"/>
    </row>
    <row r="266" customFormat="false" ht="18.75" hidden="false" customHeight="true" outlineLevel="0" collapsed="false">
      <c r="B266" s="33"/>
      <c r="C266" s="29"/>
    </row>
    <row r="267" customFormat="false" ht="18.75" hidden="false" customHeight="true" outlineLevel="0" collapsed="false">
      <c r="B267" s="33"/>
      <c r="C267" s="29"/>
    </row>
    <row r="268" customFormat="false" ht="18.75" hidden="false" customHeight="true" outlineLevel="0" collapsed="false">
      <c r="B268" s="33"/>
      <c r="C268" s="29"/>
    </row>
    <row r="269" customFormat="false" ht="18.75" hidden="false" customHeight="true" outlineLevel="0" collapsed="false">
      <c r="B269" s="33"/>
      <c r="C269" s="29"/>
    </row>
    <row r="270" customFormat="false" ht="18.75" hidden="false" customHeight="true" outlineLevel="0" collapsed="false">
      <c r="B270" s="33"/>
      <c r="C270" s="29"/>
    </row>
    <row r="271" customFormat="false" ht="18.75" hidden="false" customHeight="true" outlineLevel="0" collapsed="false">
      <c r="B271" s="33"/>
      <c r="C271" s="29"/>
    </row>
    <row r="272" customFormat="false" ht="18.75" hidden="false" customHeight="true" outlineLevel="0" collapsed="false">
      <c r="B272" s="33"/>
      <c r="C272" s="29"/>
    </row>
    <row r="273" customFormat="false" ht="18.75" hidden="false" customHeight="true" outlineLevel="0" collapsed="false">
      <c r="B273" s="33"/>
      <c r="C273" s="29"/>
    </row>
    <row r="274" customFormat="false" ht="18.75" hidden="false" customHeight="true" outlineLevel="0" collapsed="false">
      <c r="B274" s="33"/>
      <c r="C274" s="29"/>
    </row>
    <row r="275" customFormat="false" ht="18.75" hidden="false" customHeight="true" outlineLevel="0" collapsed="false">
      <c r="B275" s="33"/>
      <c r="C275" s="29"/>
    </row>
    <row r="276" customFormat="false" ht="18.75" hidden="false" customHeight="true" outlineLevel="0" collapsed="false">
      <c r="B276" s="33"/>
      <c r="C276" s="29"/>
    </row>
    <row r="277" customFormat="false" ht="18.75" hidden="false" customHeight="true" outlineLevel="0" collapsed="false">
      <c r="B277" s="33"/>
      <c r="C277" s="29"/>
    </row>
    <row r="278" customFormat="false" ht="18.75" hidden="false" customHeight="true" outlineLevel="0" collapsed="false">
      <c r="B278" s="33"/>
      <c r="C278" s="29"/>
    </row>
    <row r="279" customFormat="false" ht="18.75" hidden="false" customHeight="true" outlineLevel="0" collapsed="false">
      <c r="B279" s="33"/>
      <c r="C279" s="29"/>
    </row>
    <row r="280" customFormat="false" ht="18.75" hidden="false" customHeight="true" outlineLevel="0" collapsed="false">
      <c r="B280" s="33"/>
      <c r="C280" s="29"/>
    </row>
    <row r="281" customFormat="false" ht="18.75" hidden="false" customHeight="true" outlineLevel="0" collapsed="false">
      <c r="B281" s="33"/>
      <c r="C281" s="29"/>
    </row>
    <row r="282" customFormat="false" ht="18.75" hidden="false" customHeight="true" outlineLevel="0" collapsed="false">
      <c r="B282" s="33"/>
      <c r="C282" s="29"/>
    </row>
    <row r="283" customFormat="false" ht="18.75" hidden="false" customHeight="true" outlineLevel="0" collapsed="false">
      <c r="B283" s="33"/>
      <c r="C283" s="29"/>
    </row>
    <row r="284" customFormat="false" ht="18.75" hidden="false" customHeight="true" outlineLevel="0" collapsed="false">
      <c r="B284" s="33"/>
      <c r="C284" s="29"/>
    </row>
    <row r="285" customFormat="false" ht="18.75" hidden="false" customHeight="true" outlineLevel="0" collapsed="false">
      <c r="B285" s="33"/>
      <c r="C285" s="29"/>
    </row>
    <row r="286" customFormat="false" ht="18.75" hidden="false" customHeight="true" outlineLevel="0" collapsed="false">
      <c r="B286" s="33"/>
      <c r="C286" s="29"/>
    </row>
    <row r="287" customFormat="false" ht="18.75" hidden="false" customHeight="true" outlineLevel="0" collapsed="false">
      <c r="B287" s="33"/>
      <c r="C287" s="29"/>
    </row>
    <row r="288" customFormat="false" ht="18.75" hidden="false" customHeight="true" outlineLevel="0" collapsed="false">
      <c r="B288" s="33"/>
      <c r="C288" s="29"/>
    </row>
    <row r="289" customFormat="false" ht="18.75" hidden="false" customHeight="true" outlineLevel="0" collapsed="false">
      <c r="B289" s="33"/>
      <c r="C289" s="29"/>
    </row>
    <row r="290" customFormat="false" ht="18.75" hidden="false" customHeight="true" outlineLevel="0" collapsed="false">
      <c r="B290" s="33"/>
      <c r="C290" s="29"/>
    </row>
    <row r="291" customFormat="false" ht="18.75" hidden="false" customHeight="true" outlineLevel="0" collapsed="false">
      <c r="B291" s="33"/>
      <c r="C291" s="29"/>
    </row>
    <row r="292" customFormat="false" ht="18.75" hidden="false" customHeight="true" outlineLevel="0" collapsed="false">
      <c r="B292" s="33"/>
      <c r="C292" s="29"/>
    </row>
    <row r="293" customFormat="false" ht="18.75" hidden="false" customHeight="true" outlineLevel="0" collapsed="false">
      <c r="B293" s="33"/>
      <c r="C293" s="29"/>
    </row>
    <row r="294" customFormat="false" ht="18.75" hidden="false" customHeight="true" outlineLevel="0" collapsed="false">
      <c r="B294" s="33"/>
      <c r="C294" s="29"/>
    </row>
    <row r="295" customFormat="false" ht="18.75" hidden="false" customHeight="true" outlineLevel="0" collapsed="false">
      <c r="B295" s="33"/>
      <c r="C295" s="29"/>
    </row>
    <row r="296" customFormat="false" ht="18.75" hidden="false" customHeight="true" outlineLevel="0" collapsed="false">
      <c r="B296" s="33"/>
      <c r="C296" s="29"/>
    </row>
    <row r="297" customFormat="false" ht="18.75" hidden="false" customHeight="true" outlineLevel="0" collapsed="false">
      <c r="B297" s="33"/>
      <c r="C297" s="29"/>
    </row>
    <row r="298" customFormat="false" ht="18.75" hidden="false" customHeight="true" outlineLevel="0" collapsed="false">
      <c r="B298" s="33"/>
      <c r="C298" s="29"/>
    </row>
    <row r="299" customFormat="false" ht="18.75" hidden="false" customHeight="true" outlineLevel="0" collapsed="false">
      <c r="B299" s="33"/>
      <c r="C299" s="29"/>
    </row>
    <row r="300" customFormat="false" ht="18.75" hidden="false" customHeight="true" outlineLevel="0" collapsed="false">
      <c r="B300" s="33"/>
      <c r="C300" s="29"/>
    </row>
    <row r="301" customFormat="false" ht="18.75" hidden="false" customHeight="true" outlineLevel="0" collapsed="false">
      <c r="B301" s="33"/>
      <c r="C301" s="29"/>
    </row>
    <row r="302" customFormat="false" ht="18.75" hidden="false" customHeight="true" outlineLevel="0" collapsed="false">
      <c r="B302" s="33"/>
      <c r="C302" s="29"/>
    </row>
    <row r="303" customFormat="false" ht="18.75" hidden="false" customHeight="true" outlineLevel="0" collapsed="false">
      <c r="B303" s="33"/>
      <c r="C303" s="29"/>
    </row>
    <row r="304" customFormat="false" ht="18.75" hidden="false" customHeight="true" outlineLevel="0" collapsed="false">
      <c r="B304" s="33"/>
      <c r="C304" s="29"/>
    </row>
    <row r="305" customFormat="false" ht="18.75" hidden="false" customHeight="true" outlineLevel="0" collapsed="false">
      <c r="B305" s="33"/>
      <c r="C305" s="29"/>
    </row>
    <row r="306" customFormat="false" ht="18.75" hidden="false" customHeight="true" outlineLevel="0" collapsed="false">
      <c r="B306" s="33"/>
      <c r="C306" s="29"/>
    </row>
    <row r="307" customFormat="false" ht="18.75" hidden="false" customHeight="true" outlineLevel="0" collapsed="false">
      <c r="B307" s="33"/>
      <c r="C307" s="29"/>
    </row>
    <row r="308" customFormat="false" ht="18.75" hidden="false" customHeight="true" outlineLevel="0" collapsed="false">
      <c r="B308" s="33"/>
      <c r="C308" s="29"/>
    </row>
    <row r="309" customFormat="false" ht="18.75" hidden="false" customHeight="true" outlineLevel="0" collapsed="false">
      <c r="B309" s="33"/>
      <c r="C309" s="29"/>
    </row>
    <row r="310" customFormat="false" ht="18.75" hidden="false" customHeight="true" outlineLevel="0" collapsed="false">
      <c r="B310" s="33"/>
      <c r="C310" s="29"/>
    </row>
    <row r="311" customFormat="false" ht="18.75" hidden="false" customHeight="true" outlineLevel="0" collapsed="false">
      <c r="B311" s="33"/>
      <c r="C311" s="29"/>
    </row>
    <row r="312" customFormat="false" ht="18.75" hidden="false" customHeight="true" outlineLevel="0" collapsed="false">
      <c r="B312" s="33"/>
      <c r="C312" s="29"/>
    </row>
    <row r="313" customFormat="false" ht="18.75" hidden="false" customHeight="true" outlineLevel="0" collapsed="false">
      <c r="B313" s="33"/>
      <c r="C313" s="29"/>
    </row>
    <row r="314" customFormat="false" ht="18.75" hidden="false" customHeight="true" outlineLevel="0" collapsed="false">
      <c r="B314" s="33"/>
      <c r="C314" s="29"/>
    </row>
    <row r="315" customFormat="false" ht="18.75" hidden="false" customHeight="true" outlineLevel="0" collapsed="false">
      <c r="B315" s="33"/>
      <c r="C315" s="29"/>
    </row>
    <row r="316" customFormat="false" ht="18.75" hidden="false" customHeight="true" outlineLevel="0" collapsed="false">
      <c r="B316" s="33"/>
      <c r="C316" s="29"/>
    </row>
    <row r="317" customFormat="false" ht="18.75" hidden="false" customHeight="true" outlineLevel="0" collapsed="false">
      <c r="B317" s="33"/>
      <c r="C317" s="29"/>
    </row>
    <row r="318" customFormat="false" ht="18.75" hidden="false" customHeight="true" outlineLevel="0" collapsed="false">
      <c r="B318" s="33"/>
      <c r="C318" s="29"/>
    </row>
    <row r="319" customFormat="false" ht="18.75" hidden="false" customHeight="true" outlineLevel="0" collapsed="false">
      <c r="B319" s="33"/>
      <c r="C319" s="29"/>
    </row>
    <row r="320" customFormat="false" ht="18.75" hidden="false" customHeight="true" outlineLevel="0" collapsed="false">
      <c r="B320" s="33"/>
      <c r="C320" s="29"/>
    </row>
    <row r="321" customFormat="false" ht="18.75" hidden="false" customHeight="true" outlineLevel="0" collapsed="false">
      <c r="B321" s="33"/>
      <c r="C321" s="29"/>
    </row>
    <row r="322" customFormat="false" ht="18.75" hidden="false" customHeight="true" outlineLevel="0" collapsed="false">
      <c r="B322" s="33"/>
      <c r="C322" s="29"/>
    </row>
    <row r="323" customFormat="false" ht="18.75" hidden="false" customHeight="true" outlineLevel="0" collapsed="false">
      <c r="B323" s="33"/>
      <c r="C323" s="29"/>
    </row>
    <row r="324" customFormat="false" ht="18.75" hidden="false" customHeight="true" outlineLevel="0" collapsed="false">
      <c r="B324" s="33"/>
      <c r="C324" s="29"/>
    </row>
    <row r="325" customFormat="false" ht="18.75" hidden="false" customHeight="true" outlineLevel="0" collapsed="false">
      <c r="B325" s="33"/>
      <c r="C325" s="29"/>
    </row>
    <row r="326" customFormat="false" ht="18.75" hidden="false" customHeight="true" outlineLevel="0" collapsed="false">
      <c r="B326" s="33"/>
      <c r="C326" s="29"/>
    </row>
    <row r="327" customFormat="false" ht="18.75" hidden="false" customHeight="true" outlineLevel="0" collapsed="false">
      <c r="B327" s="33"/>
      <c r="C327" s="29"/>
    </row>
    <row r="328" customFormat="false" ht="18.75" hidden="false" customHeight="true" outlineLevel="0" collapsed="false">
      <c r="B328" s="33"/>
      <c r="C328" s="29"/>
    </row>
    <row r="329" customFormat="false" ht="18.75" hidden="false" customHeight="true" outlineLevel="0" collapsed="false">
      <c r="B329" s="33"/>
      <c r="C329" s="29"/>
    </row>
    <row r="330" customFormat="false" ht="18.75" hidden="false" customHeight="true" outlineLevel="0" collapsed="false">
      <c r="B330" s="33"/>
      <c r="C330" s="29"/>
    </row>
    <row r="331" customFormat="false" ht="18.75" hidden="false" customHeight="true" outlineLevel="0" collapsed="false">
      <c r="B331" s="33"/>
      <c r="C331" s="29"/>
    </row>
    <row r="332" customFormat="false" ht="18.75" hidden="false" customHeight="true" outlineLevel="0" collapsed="false">
      <c r="B332" s="33"/>
      <c r="C332" s="29"/>
    </row>
    <row r="333" customFormat="false" ht="18.75" hidden="false" customHeight="true" outlineLevel="0" collapsed="false">
      <c r="B333" s="33"/>
      <c r="C333" s="29"/>
    </row>
    <row r="334" customFormat="false" ht="18.75" hidden="false" customHeight="true" outlineLevel="0" collapsed="false">
      <c r="B334" s="33"/>
      <c r="C334" s="29"/>
    </row>
    <row r="335" customFormat="false" ht="18.75" hidden="false" customHeight="true" outlineLevel="0" collapsed="false">
      <c r="B335" s="33"/>
      <c r="C335" s="29"/>
    </row>
    <row r="336" customFormat="false" ht="18.75" hidden="false" customHeight="true" outlineLevel="0" collapsed="false">
      <c r="B336" s="33"/>
      <c r="C336" s="29"/>
    </row>
    <row r="337" customFormat="false" ht="18.75" hidden="false" customHeight="true" outlineLevel="0" collapsed="false">
      <c r="B337" s="33"/>
      <c r="C337" s="29"/>
    </row>
    <row r="338" customFormat="false" ht="18.75" hidden="false" customHeight="true" outlineLevel="0" collapsed="false">
      <c r="B338" s="33"/>
      <c r="C338" s="29"/>
    </row>
    <row r="339" customFormat="false" ht="18.75" hidden="false" customHeight="true" outlineLevel="0" collapsed="false">
      <c r="B339" s="33"/>
      <c r="C339" s="29"/>
    </row>
    <row r="340" customFormat="false" ht="18.75" hidden="false" customHeight="true" outlineLevel="0" collapsed="false">
      <c r="B340" s="33"/>
      <c r="C340" s="29"/>
    </row>
    <row r="341" customFormat="false" ht="18.75" hidden="false" customHeight="true" outlineLevel="0" collapsed="false">
      <c r="B341" s="33"/>
      <c r="C341" s="29"/>
    </row>
    <row r="342" customFormat="false" ht="18.75" hidden="false" customHeight="true" outlineLevel="0" collapsed="false">
      <c r="B342" s="33"/>
      <c r="C342" s="29"/>
    </row>
    <row r="343" customFormat="false" ht="18.75" hidden="false" customHeight="true" outlineLevel="0" collapsed="false">
      <c r="B343" s="33"/>
      <c r="C343" s="29"/>
    </row>
    <row r="344" customFormat="false" ht="18.75" hidden="false" customHeight="true" outlineLevel="0" collapsed="false">
      <c r="B344" s="33"/>
      <c r="C344" s="29"/>
    </row>
    <row r="345" customFormat="false" ht="18.75" hidden="false" customHeight="true" outlineLevel="0" collapsed="false">
      <c r="B345" s="33"/>
      <c r="C345" s="29"/>
    </row>
    <row r="346" customFormat="false" ht="18.75" hidden="false" customHeight="true" outlineLevel="0" collapsed="false">
      <c r="B346" s="33"/>
      <c r="C346" s="29"/>
    </row>
    <row r="347" customFormat="false" ht="18.75" hidden="false" customHeight="true" outlineLevel="0" collapsed="false">
      <c r="B347" s="33"/>
      <c r="C347" s="29"/>
    </row>
    <row r="348" customFormat="false" ht="18.75" hidden="false" customHeight="true" outlineLevel="0" collapsed="false">
      <c r="B348" s="33"/>
      <c r="C348" s="29"/>
    </row>
    <row r="349" customFormat="false" ht="18.75" hidden="false" customHeight="true" outlineLevel="0" collapsed="false">
      <c r="B349" s="33"/>
      <c r="C349" s="29"/>
    </row>
    <row r="350" customFormat="false" ht="18.75" hidden="false" customHeight="true" outlineLevel="0" collapsed="false">
      <c r="B350" s="33"/>
      <c r="C350" s="29"/>
    </row>
    <row r="351" customFormat="false" ht="18.75" hidden="false" customHeight="true" outlineLevel="0" collapsed="false">
      <c r="B351" s="33"/>
      <c r="C351" s="29"/>
    </row>
    <row r="352" customFormat="false" ht="18.75" hidden="false" customHeight="true" outlineLevel="0" collapsed="false">
      <c r="B352" s="33"/>
      <c r="C352" s="29"/>
    </row>
    <row r="353" customFormat="false" ht="18.75" hidden="false" customHeight="true" outlineLevel="0" collapsed="false">
      <c r="B353" s="33"/>
      <c r="C353" s="29"/>
    </row>
    <row r="354" customFormat="false" ht="18.75" hidden="false" customHeight="true" outlineLevel="0" collapsed="false">
      <c r="B354" s="33"/>
      <c r="C354" s="29"/>
    </row>
    <row r="355" customFormat="false" ht="18.75" hidden="false" customHeight="true" outlineLevel="0" collapsed="false">
      <c r="B355" s="33"/>
      <c r="C355" s="29"/>
    </row>
    <row r="356" customFormat="false" ht="18.75" hidden="false" customHeight="true" outlineLevel="0" collapsed="false">
      <c r="B356" s="33"/>
      <c r="C356" s="29"/>
    </row>
    <row r="357" customFormat="false" ht="18.75" hidden="false" customHeight="true" outlineLevel="0" collapsed="false">
      <c r="B357" s="33"/>
      <c r="C357" s="29"/>
    </row>
    <row r="358" customFormat="false" ht="18.75" hidden="false" customHeight="true" outlineLevel="0" collapsed="false">
      <c r="B358" s="33"/>
      <c r="C358" s="29"/>
    </row>
    <row r="359" customFormat="false" ht="18.75" hidden="false" customHeight="true" outlineLevel="0" collapsed="false">
      <c r="B359" s="33"/>
      <c r="C359" s="29"/>
    </row>
    <row r="360" customFormat="false" ht="18.75" hidden="false" customHeight="true" outlineLevel="0" collapsed="false">
      <c r="B360" s="33"/>
      <c r="C360" s="29"/>
    </row>
    <row r="361" customFormat="false" ht="18.75" hidden="false" customHeight="true" outlineLevel="0" collapsed="false">
      <c r="B361" s="33"/>
      <c r="C361" s="29"/>
    </row>
    <row r="362" customFormat="false" ht="18.75" hidden="false" customHeight="true" outlineLevel="0" collapsed="false">
      <c r="B362" s="33"/>
      <c r="C362" s="29"/>
    </row>
    <row r="363" customFormat="false" ht="18.75" hidden="false" customHeight="true" outlineLevel="0" collapsed="false">
      <c r="B363" s="33"/>
      <c r="C363" s="29"/>
    </row>
    <row r="364" customFormat="false" ht="18.75" hidden="false" customHeight="true" outlineLevel="0" collapsed="false">
      <c r="B364" s="33"/>
      <c r="C364" s="29"/>
    </row>
    <row r="365" customFormat="false" ht="18.75" hidden="false" customHeight="true" outlineLevel="0" collapsed="false">
      <c r="B365" s="33"/>
      <c r="C365" s="29"/>
    </row>
    <row r="366" customFormat="false" ht="18.75" hidden="false" customHeight="true" outlineLevel="0" collapsed="false">
      <c r="B366" s="33"/>
      <c r="C366" s="29"/>
    </row>
    <row r="367" customFormat="false" ht="18.75" hidden="false" customHeight="true" outlineLevel="0" collapsed="false">
      <c r="B367" s="33"/>
      <c r="C367" s="29"/>
    </row>
    <row r="368" customFormat="false" ht="18.75" hidden="false" customHeight="true" outlineLevel="0" collapsed="false">
      <c r="B368" s="33"/>
      <c r="C368" s="29"/>
    </row>
    <row r="369" customFormat="false" ht="18.75" hidden="false" customHeight="true" outlineLevel="0" collapsed="false">
      <c r="B369" s="33"/>
      <c r="C369" s="29"/>
    </row>
    <row r="370" customFormat="false" ht="18.75" hidden="false" customHeight="true" outlineLevel="0" collapsed="false">
      <c r="B370" s="33"/>
      <c r="C370" s="29"/>
    </row>
    <row r="371" customFormat="false" ht="18.75" hidden="false" customHeight="true" outlineLevel="0" collapsed="false">
      <c r="B371" s="33"/>
      <c r="C371" s="29"/>
    </row>
    <row r="372" customFormat="false" ht="18.75" hidden="false" customHeight="true" outlineLevel="0" collapsed="false">
      <c r="B372" s="33"/>
      <c r="C372" s="29"/>
    </row>
    <row r="373" customFormat="false" ht="18.75" hidden="false" customHeight="true" outlineLevel="0" collapsed="false">
      <c r="B373" s="33"/>
      <c r="C373" s="29"/>
    </row>
    <row r="374" customFormat="false" ht="18.75" hidden="false" customHeight="true" outlineLevel="0" collapsed="false">
      <c r="B374" s="33"/>
      <c r="C374" s="29"/>
    </row>
    <row r="375" customFormat="false" ht="18.75" hidden="false" customHeight="true" outlineLevel="0" collapsed="false">
      <c r="B375" s="33"/>
      <c r="C375" s="29"/>
    </row>
    <row r="376" customFormat="false" ht="18.75" hidden="false" customHeight="true" outlineLevel="0" collapsed="false">
      <c r="B376" s="33"/>
      <c r="C376" s="29"/>
    </row>
    <row r="377" customFormat="false" ht="18.75" hidden="false" customHeight="true" outlineLevel="0" collapsed="false">
      <c r="B377" s="33"/>
      <c r="C377" s="29"/>
    </row>
    <row r="378" customFormat="false" ht="18.75" hidden="false" customHeight="true" outlineLevel="0" collapsed="false">
      <c r="B378" s="33"/>
      <c r="C378" s="29"/>
    </row>
    <row r="379" customFormat="false" ht="18.75" hidden="false" customHeight="true" outlineLevel="0" collapsed="false">
      <c r="B379" s="33"/>
      <c r="C379" s="29"/>
    </row>
    <row r="380" customFormat="false" ht="18.75" hidden="false" customHeight="true" outlineLevel="0" collapsed="false">
      <c r="B380" s="33"/>
      <c r="C380" s="29"/>
    </row>
    <row r="381" customFormat="false" ht="18.75" hidden="false" customHeight="true" outlineLevel="0" collapsed="false">
      <c r="B381" s="33"/>
      <c r="C381" s="29"/>
    </row>
    <row r="382" customFormat="false" ht="18.75" hidden="false" customHeight="true" outlineLevel="0" collapsed="false">
      <c r="B382" s="33"/>
      <c r="C382" s="29"/>
    </row>
    <row r="383" customFormat="false" ht="18.75" hidden="false" customHeight="true" outlineLevel="0" collapsed="false">
      <c r="B383" s="33"/>
      <c r="C383" s="29"/>
    </row>
    <row r="384" customFormat="false" ht="18.75" hidden="false" customHeight="true" outlineLevel="0" collapsed="false">
      <c r="B384" s="33"/>
      <c r="C384" s="29"/>
    </row>
    <row r="385" customFormat="false" ht="18.75" hidden="false" customHeight="true" outlineLevel="0" collapsed="false">
      <c r="B385" s="33"/>
      <c r="C385" s="29"/>
    </row>
    <row r="386" customFormat="false" ht="18.75" hidden="false" customHeight="true" outlineLevel="0" collapsed="false">
      <c r="B386" s="33"/>
      <c r="C386" s="29"/>
    </row>
    <row r="387" customFormat="false" ht="18.75" hidden="false" customHeight="true" outlineLevel="0" collapsed="false">
      <c r="B387" s="33"/>
      <c r="C387" s="29"/>
    </row>
    <row r="388" customFormat="false" ht="18.75" hidden="false" customHeight="true" outlineLevel="0" collapsed="false">
      <c r="B388" s="33"/>
      <c r="C388" s="29"/>
    </row>
    <row r="389" customFormat="false" ht="18.75" hidden="false" customHeight="true" outlineLevel="0" collapsed="false">
      <c r="B389" s="33"/>
      <c r="C389" s="29"/>
    </row>
    <row r="390" customFormat="false" ht="18.75" hidden="false" customHeight="true" outlineLevel="0" collapsed="false">
      <c r="B390" s="33"/>
      <c r="C390" s="29"/>
    </row>
    <row r="391" customFormat="false" ht="18.75" hidden="false" customHeight="true" outlineLevel="0" collapsed="false">
      <c r="B391" s="33"/>
      <c r="C391" s="29"/>
    </row>
    <row r="392" customFormat="false" ht="18.75" hidden="false" customHeight="true" outlineLevel="0" collapsed="false">
      <c r="B392" s="33"/>
      <c r="C392" s="29"/>
    </row>
    <row r="393" customFormat="false" ht="18.75" hidden="false" customHeight="true" outlineLevel="0" collapsed="false">
      <c r="B393" s="33"/>
      <c r="C393" s="29"/>
    </row>
    <row r="394" customFormat="false" ht="18.75" hidden="false" customHeight="true" outlineLevel="0" collapsed="false">
      <c r="B394" s="33"/>
      <c r="C394" s="29"/>
    </row>
    <row r="395" customFormat="false" ht="18.75" hidden="false" customHeight="true" outlineLevel="0" collapsed="false">
      <c r="B395" s="33"/>
      <c r="C395" s="29"/>
    </row>
    <row r="396" customFormat="false" ht="18.75" hidden="false" customHeight="true" outlineLevel="0" collapsed="false">
      <c r="B396" s="33"/>
      <c r="C396" s="29"/>
    </row>
    <row r="397" customFormat="false" ht="18.75" hidden="false" customHeight="true" outlineLevel="0" collapsed="false">
      <c r="B397" s="33"/>
      <c r="C397" s="29"/>
    </row>
    <row r="398" customFormat="false" ht="18.75" hidden="false" customHeight="true" outlineLevel="0" collapsed="false">
      <c r="B398" s="33"/>
      <c r="C398" s="29"/>
    </row>
    <row r="399" customFormat="false" ht="18.75" hidden="false" customHeight="true" outlineLevel="0" collapsed="false">
      <c r="B399" s="33"/>
      <c r="C399" s="29"/>
    </row>
    <row r="400" customFormat="false" ht="18.75" hidden="false" customHeight="true" outlineLevel="0" collapsed="false">
      <c r="B400" s="33"/>
      <c r="C400" s="29"/>
    </row>
    <row r="401" customFormat="false" ht="18.75" hidden="false" customHeight="true" outlineLevel="0" collapsed="false">
      <c r="B401" s="33"/>
      <c r="C401" s="29"/>
    </row>
    <row r="402" customFormat="false" ht="18.75" hidden="false" customHeight="true" outlineLevel="0" collapsed="false">
      <c r="B402" s="33"/>
      <c r="C402" s="29"/>
    </row>
    <row r="403" customFormat="false" ht="18.75" hidden="false" customHeight="true" outlineLevel="0" collapsed="false">
      <c r="B403" s="33"/>
      <c r="C403" s="29"/>
    </row>
    <row r="404" customFormat="false" ht="18.75" hidden="false" customHeight="true" outlineLevel="0" collapsed="false">
      <c r="B404" s="33"/>
      <c r="C404" s="29"/>
    </row>
    <row r="405" customFormat="false" ht="18.75" hidden="false" customHeight="true" outlineLevel="0" collapsed="false">
      <c r="B405" s="33"/>
      <c r="C405" s="29"/>
    </row>
    <row r="406" customFormat="false" ht="18.75" hidden="false" customHeight="true" outlineLevel="0" collapsed="false">
      <c r="B406" s="33"/>
      <c r="C406" s="29"/>
    </row>
    <row r="407" customFormat="false" ht="18.75" hidden="false" customHeight="true" outlineLevel="0" collapsed="false">
      <c r="B407" s="33"/>
      <c r="C407" s="29"/>
    </row>
    <row r="408" customFormat="false" ht="18.75" hidden="false" customHeight="true" outlineLevel="0" collapsed="false">
      <c r="B408" s="33"/>
      <c r="C408" s="29"/>
    </row>
    <row r="409" customFormat="false" ht="18.75" hidden="false" customHeight="true" outlineLevel="0" collapsed="false">
      <c r="B409" s="33"/>
      <c r="C409" s="29"/>
    </row>
    <row r="410" customFormat="false" ht="18.75" hidden="false" customHeight="true" outlineLevel="0" collapsed="false">
      <c r="B410" s="33"/>
      <c r="C410" s="29"/>
    </row>
    <row r="411" customFormat="false" ht="18.75" hidden="false" customHeight="true" outlineLevel="0" collapsed="false">
      <c r="B411" s="33"/>
      <c r="C411" s="29"/>
    </row>
    <row r="412" customFormat="false" ht="18.75" hidden="false" customHeight="true" outlineLevel="0" collapsed="false">
      <c r="B412" s="33"/>
      <c r="C412" s="29"/>
    </row>
    <row r="413" customFormat="false" ht="18.75" hidden="false" customHeight="true" outlineLevel="0" collapsed="false">
      <c r="B413" s="33"/>
      <c r="C413" s="29"/>
    </row>
    <row r="414" customFormat="false" ht="18.75" hidden="false" customHeight="true" outlineLevel="0" collapsed="false">
      <c r="B414" s="33"/>
      <c r="C414" s="29"/>
    </row>
    <row r="415" customFormat="false" ht="18.75" hidden="false" customHeight="true" outlineLevel="0" collapsed="false">
      <c r="B415" s="33"/>
      <c r="C415" s="29"/>
    </row>
    <row r="416" customFormat="false" ht="18.75" hidden="false" customHeight="true" outlineLevel="0" collapsed="false">
      <c r="B416" s="33"/>
      <c r="C416" s="29"/>
    </row>
    <row r="417" customFormat="false" ht="18.75" hidden="false" customHeight="true" outlineLevel="0" collapsed="false">
      <c r="B417" s="33"/>
      <c r="C417" s="29"/>
    </row>
    <row r="418" customFormat="false" ht="18.75" hidden="false" customHeight="true" outlineLevel="0" collapsed="false">
      <c r="B418" s="33"/>
      <c r="C418" s="29"/>
    </row>
    <row r="419" customFormat="false" ht="18.75" hidden="false" customHeight="true" outlineLevel="0" collapsed="false">
      <c r="B419" s="33"/>
      <c r="C419" s="29"/>
    </row>
    <row r="420" customFormat="false" ht="18.75" hidden="false" customHeight="true" outlineLevel="0" collapsed="false">
      <c r="B420" s="33"/>
      <c r="C420" s="29"/>
    </row>
    <row r="421" customFormat="false" ht="18.75" hidden="false" customHeight="true" outlineLevel="0" collapsed="false">
      <c r="B421" s="33"/>
      <c r="C421" s="29"/>
    </row>
    <row r="422" customFormat="false" ht="18.75" hidden="false" customHeight="true" outlineLevel="0" collapsed="false">
      <c r="B422" s="33"/>
      <c r="C422" s="29"/>
    </row>
    <row r="423" customFormat="false" ht="18.75" hidden="false" customHeight="true" outlineLevel="0" collapsed="false">
      <c r="B423" s="33"/>
      <c r="C423" s="29"/>
    </row>
    <row r="424" customFormat="false" ht="18.75" hidden="false" customHeight="true" outlineLevel="0" collapsed="false">
      <c r="B424" s="33"/>
      <c r="C424" s="29"/>
    </row>
    <row r="425" customFormat="false" ht="18.75" hidden="false" customHeight="true" outlineLevel="0" collapsed="false">
      <c r="B425" s="33"/>
      <c r="C425" s="29"/>
    </row>
    <row r="426" customFormat="false" ht="18.75" hidden="false" customHeight="true" outlineLevel="0" collapsed="false">
      <c r="B426" s="33"/>
      <c r="C426" s="29"/>
    </row>
    <row r="427" customFormat="false" ht="18.75" hidden="false" customHeight="true" outlineLevel="0" collapsed="false">
      <c r="B427" s="33"/>
      <c r="C427" s="29"/>
    </row>
    <row r="428" customFormat="false" ht="18.75" hidden="false" customHeight="true" outlineLevel="0" collapsed="false">
      <c r="B428" s="33"/>
      <c r="C428" s="29"/>
    </row>
    <row r="429" customFormat="false" ht="18.75" hidden="false" customHeight="true" outlineLevel="0" collapsed="false">
      <c r="B429" s="33"/>
      <c r="C429" s="29"/>
    </row>
    <row r="430" customFormat="false" ht="18.75" hidden="false" customHeight="true" outlineLevel="0" collapsed="false">
      <c r="B430" s="33"/>
      <c r="C430" s="29"/>
    </row>
    <row r="431" customFormat="false" ht="18.75" hidden="false" customHeight="true" outlineLevel="0" collapsed="false">
      <c r="B431" s="33"/>
      <c r="C431" s="29"/>
    </row>
    <row r="432" customFormat="false" ht="18.75" hidden="false" customHeight="true" outlineLevel="0" collapsed="false">
      <c r="B432" s="33"/>
      <c r="C432" s="29"/>
    </row>
    <row r="433" customFormat="false" ht="18.75" hidden="false" customHeight="true" outlineLevel="0" collapsed="false">
      <c r="B433" s="33"/>
      <c r="C433" s="29"/>
    </row>
    <row r="434" customFormat="false" ht="18.75" hidden="false" customHeight="true" outlineLevel="0" collapsed="false">
      <c r="B434" s="33"/>
      <c r="C434" s="29"/>
    </row>
    <row r="435" customFormat="false" ht="18.75" hidden="false" customHeight="true" outlineLevel="0" collapsed="false">
      <c r="B435" s="33"/>
      <c r="C435" s="29"/>
    </row>
    <row r="436" customFormat="false" ht="18.75" hidden="false" customHeight="true" outlineLevel="0" collapsed="false">
      <c r="B436" s="33"/>
      <c r="C436" s="29"/>
    </row>
    <row r="437" customFormat="false" ht="18.75" hidden="false" customHeight="true" outlineLevel="0" collapsed="false">
      <c r="B437" s="33"/>
      <c r="C437" s="29"/>
    </row>
    <row r="438" customFormat="false" ht="18.75" hidden="false" customHeight="true" outlineLevel="0" collapsed="false">
      <c r="B438" s="33"/>
      <c r="C438" s="29"/>
    </row>
    <row r="439" customFormat="false" ht="18.75" hidden="false" customHeight="true" outlineLevel="0" collapsed="false">
      <c r="B439" s="33"/>
      <c r="C439" s="29"/>
    </row>
    <row r="440" customFormat="false" ht="18.75" hidden="false" customHeight="true" outlineLevel="0" collapsed="false">
      <c r="B440" s="33"/>
      <c r="C440" s="29"/>
    </row>
    <row r="441" customFormat="false" ht="18.75" hidden="false" customHeight="true" outlineLevel="0" collapsed="false">
      <c r="B441" s="33"/>
      <c r="C441" s="29"/>
    </row>
    <row r="442" customFormat="false" ht="18.75" hidden="false" customHeight="true" outlineLevel="0" collapsed="false">
      <c r="B442" s="33"/>
      <c r="C442" s="29"/>
    </row>
    <row r="443" customFormat="false" ht="18.75" hidden="false" customHeight="true" outlineLevel="0" collapsed="false">
      <c r="B443" s="33"/>
      <c r="C443" s="29"/>
    </row>
    <row r="444" customFormat="false" ht="18.75" hidden="false" customHeight="true" outlineLevel="0" collapsed="false">
      <c r="B444" s="33"/>
      <c r="C444" s="29"/>
    </row>
    <row r="445" customFormat="false" ht="18.75" hidden="false" customHeight="true" outlineLevel="0" collapsed="false">
      <c r="B445" s="33"/>
      <c r="C445" s="29"/>
    </row>
    <row r="446" customFormat="false" ht="18.75" hidden="false" customHeight="true" outlineLevel="0" collapsed="false">
      <c r="B446" s="33"/>
      <c r="C446" s="29"/>
    </row>
    <row r="447" customFormat="false" ht="18.75" hidden="false" customHeight="true" outlineLevel="0" collapsed="false">
      <c r="B447" s="33"/>
      <c r="C447" s="29"/>
    </row>
    <row r="448" customFormat="false" ht="18.75" hidden="false" customHeight="true" outlineLevel="0" collapsed="false">
      <c r="B448" s="33"/>
      <c r="C448" s="29"/>
    </row>
    <row r="449" customFormat="false" ht="18.75" hidden="false" customHeight="true" outlineLevel="0" collapsed="false">
      <c r="B449" s="33"/>
      <c r="C449" s="29"/>
    </row>
    <row r="450" customFormat="false" ht="18.75" hidden="false" customHeight="true" outlineLevel="0" collapsed="false">
      <c r="B450" s="33"/>
      <c r="C450" s="29"/>
    </row>
    <row r="451" customFormat="false" ht="18.75" hidden="false" customHeight="true" outlineLevel="0" collapsed="false">
      <c r="B451" s="33"/>
      <c r="C451" s="29"/>
    </row>
    <row r="452" customFormat="false" ht="18.75" hidden="false" customHeight="true" outlineLevel="0" collapsed="false">
      <c r="B452" s="33"/>
      <c r="C452" s="29"/>
    </row>
    <row r="453" customFormat="false" ht="18.75" hidden="false" customHeight="true" outlineLevel="0" collapsed="false">
      <c r="B453" s="33"/>
      <c r="C453" s="29"/>
    </row>
    <row r="454" customFormat="false" ht="18.75" hidden="false" customHeight="true" outlineLevel="0" collapsed="false">
      <c r="B454" s="33"/>
      <c r="C454" s="29"/>
    </row>
    <row r="455" customFormat="false" ht="18.75" hidden="false" customHeight="true" outlineLevel="0" collapsed="false">
      <c r="B455" s="33"/>
      <c r="C455" s="29"/>
    </row>
    <row r="456" customFormat="false" ht="18.75" hidden="false" customHeight="true" outlineLevel="0" collapsed="false">
      <c r="B456" s="33"/>
      <c r="C456" s="29"/>
    </row>
    <row r="457" customFormat="false" ht="18.75" hidden="false" customHeight="true" outlineLevel="0" collapsed="false">
      <c r="B457" s="33"/>
      <c r="C457" s="29"/>
    </row>
    <row r="458" customFormat="false" ht="18.75" hidden="false" customHeight="true" outlineLevel="0" collapsed="false">
      <c r="B458" s="33"/>
      <c r="C458" s="29"/>
    </row>
    <row r="459" customFormat="false" ht="18.75" hidden="false" customHeight="true" outlineLevel="0" collapsed="false">
      <c r="B459" s="33"/>
      <c r="C459" s="29"/>
    </row>
    <row r="460" customFormat="false" ht="18.75" hidden="false" customHeight="true" outlineLevel="0" collapsed="false">
      <c r="B460" s="33"/>
      <c r="C460" s="29"/>
    </row>
    <row r="461" customFormat="false" ht="18.75" hidden="false" customHeight="true" outlineLevel="0" collapsed="false">
      <c r="B461" s="33"/>
      <c r="C461" s="29"/>
    </row>
    <row r="462" customFormat="false" ht="18.75" hidden="false" customHeight="true" outlineLevel="0" collapsed="false">
      <c r="B462" s="33"/>
      <c r="C462" s="29"/>
    </row>
    <row r="463" customFormat="false" ht="18.75" hidden="false" customHeight="true" outlineLevel="0" collapsed="false">
      <c r="B463" s="33"/>
      <c r="C463" s="29"/>
    </row>
    <row r="464" customFormat="false" ht="18.75" hidden="false" customHeight="true" outlineLevel="0" collapsed="false">
      <c r="B464" s="33"/>
      <c r="C464" s="29"/>
    </row>
    <row r="465" customFormat="false" ht="18.75" hidden="false" customHeight="true" outlineLevel="0" collapsed="false">
      <c r="B465" s="33"/>
      <c r="C465" s="29"/>
    </row>
    <row r="466" customFormat="false" ht="18.75" hidden="false" customHeight="true" outlineLevel="0" collapsed="false">
      <c r="B466" s="33"/>
      <c r="C466" s="29"/>
    </row>
    <row r="467" customFormat="false" ht="18.75" hidden="false" customHeight="true" outlineLevel="0" collapsed="false">
      <c r="B467" s="33"/>
      <c r="C467" s="29"/>
    </row>
    <row r="468" customFormat="false" ht="18.75" hidden="false" customHeight="true" outlineLevel="0" collapsed="false">
      <c r="B468" s="33"/>
      <c r="C468" s="29"/>
    </row>
    <row r="469" customFormat="false" ht="18.75" hidden="false" customHeight="true" outlineLevel="0" collapsed="false">
      <c r="B469" s="33"/>
      <c r="C469" s="29"/>
    </row>
    <row r="470" customFormat="false" ht="18.75" hidden="false" customHeight="true" outlineLevel="0" collapsed="false">
      <c r="B470" s="33"/>
      <c r="C470" s="29"/>
    </row>
    <row r="471" customFormat="false" ht="18.75" hidden="false" customHeight="true" outlineLevel="0" collapsed="false">
      <c r="B471" s="33"/>
      <c r="C471" s="29"/>
    </row>
    <row r="472" customFormat="false" ht="18.75" hidden="false" customHeight="true" outlineLevel="0" collapsed="false">
      <c r="B472" s="33"/>
      <c r="C472" s="29"/>
    </row>
    <row r="473" customFormat="false" ht="18.75" hidden="false" customHeight="true" outlineLevel="0" collapsed="false">
      <c r="B473" s="33"/>
      <c r="C473" s="29"/>
    </row>
    <row r="474" customFormat="false" ht="18.75" hidden="false" customHeight="true" outlineLevel="0" collapsed="false">
      <c r="B474" s="33"/>
      <c r="C474" s="29"/>
    </row>
    <row r="475" customFormat="false" ht="18.75" hidden="false" customHeight="true" outlineLevel="0" collapsed="false">
      <c r="B475" s="33"/>
      <c r="C475" s="29"/>
    </row>
    <row r="476" customFormat="false" ht="18.75" hidden="false" customHeight="true" outlineLevel="0" collapsed="false">
      <c r="B476" s="33"/>
      <c r="C476" s="29"/>
    </row>
    <row r="477" customFormat="false" ht="18.75" hidden="false" customHeight="true" outlineLevel="0" collapsed="false">
      <c r="B477" s="33"/>
      <c r="C477" s="29"/>
    </row>
    <row r="478" customFormat="false" ht="18.75" hidden="false" customHeight="true" outlineLevel="0" collapsed="false">
      <c r="B478" s="33"/>
      <c r="C478" s="29"/>
    </row>
    <row r="479" customFormat="false" ht="18.75" hidden="false" customHeight="true" outlineLevel="0" collapsed="false">
      <c r="B479" s="33"/>
      <c r="C479" s="29"/>
    </row>
    <row r="480" customFormat="false" ht="18.75" hidden="false" customHeight="true" outlineLevel="0" collapsed="false">
      <c r="B480" s="33"/>
      <c r="C480" s="29"/>
    </row>
    <row r="481" customFormat="false" ht="18.75" hidden="false" customHeight="true" outlineLevel="0" collapsed="false">
      <c r="B481" s="33"/>
      <c r="C481" s="29"/>
    </row>
    <row r="482" customFormat="false" ht="18.75" hidden="false" customHeight="true" outlineLevel="0" collapsed="false">
      <c r="B482" s="33"/>
      <c r="C482" s="29"/>
    </row>
    <row r="483" customFormat="false" ht="18.75" hidden="false" customHeight="true" outlineLevel="0" collapsed="false">
      <c r="B483" s="33"/>
      <c r="C483" s="29"/>
    </row>
    <row r="484" customFormat="false" ht="18.75" hidden="false" customHeight="true" outlineLevel="0" collapsed="false">
      <c r="B484" s="33"/>
      <c r="C484" s="29"/>
    </row>
    <row r="485" customFormat="false" ht="18.75" hidden="false" customHeight="true" outlineLevel="0" collapsed="false">
      <c r="B485" s="33"/>
      <c r="C485" s="29"/>
    </row>
    <row r="486" customFormat="false" ht="18.75" hidden="false" customHeight="true" outlineLevel="0" collapsed="false">
      <c r="B486" s="33"/>
      <c r="C486" s="29"/>
    </row>
    <row r="487" customFormat="false" ht="18.75" hidden="false" customHeight="true" outlineLevel="0" collapsed="false">
      <c r="B487" s="33"/>
      <c r="C487" s="29"/>
    </row>
    <row r="488" customFormat="false" ht="18.75" hidden="false" customHeight="true" outlineLevel="0" collapsed="false">
      <c r="B488" s="33"/>
      <c r="C488" s="29"/>
    </row>
    <row r="489" customFormat="false" ht="18.75" hidden="false" customHeight="true" outlineLevel="0" collapsed="false">
      <c r="B489" s="33"/>
      <c r="C489" s="29"/>
    </row>
    <row r="490" customFormat="false" ht="18.75" hidden="false" customHeight="true" outlineLevel="0" collapsed="false">
      <c r="B490" s="33"/>
      <c r="C490" s="29"/>
    </row>
    <row r="491" customFormat="false" ht="18.75" hidden="false" customHeight="true" outlineLevel="0" collapsed="false">
      <c r="B491" s="33"/>
      <c r="C491" s="29"/>
    </row>
    <row r="492" customFormat="false" ht="18.75" hidden="false" customHeight="true" outlineLevel="0" collapsed="false">
      <c r="B492" s="33"/>
      <c r="C492" s="29"/>
    </row>
    <row r="493" customFormat="false" ht="18.75" hidden="false" customHeight="true" outlineLevel="0" collapsed="false">
      <c r="B493" s="33"/>
      <c r="C493" s="29"/>
    </row>
    <row r="494" customFormat="false" ht="18.75" hidden="false" customHeight="true" outlineLevel="0" collapsed="false">
      <c r="B494" s="33"/>
      <c r="C494" s="29"/>
    </row>
    <row r="495" customFormat="false" ht="18.75" hidden="false" customHeight="true" outlineLevel="0" collapsed="false">
      <c r="B495" s="33"/>
      <c r="C495" s="29"/>
    </row>
    <row r="496" customFormat="false" ht="18.75" hidden="false" customHeight="true" outlineLevel="0" collapsed="false">
      <c r="B496" s="33"/>
      <c r="C496" s="29"/>
    </row>
    <row r="497" customFormat="false" ht="18.75" hidden="false" customHeight="true" outlineLevel="0" collapsed="false">
      <c r="B497" s="33"/>
      <c r="C497" s="29"/>
    </row>
    <row r="498" customFormat="false" ht="18.75" hidden="false" customHeight="true" outlineLevel="0" collapsed="false">
      <c r="B498" s="33"/>
      <c r="C498" s="29"/>
    </row>
    <row r="499" customFormat="false" ht="18.75" hidden="false" customHeight="true" outlineLevel="0" collapsed="false">
      <c r="B499" s="33"/>
      <c r="C499" s="29"/>
    </row>
    <row r="500" customFormat="false" ht="18.75" hidden="false" customHeight="true" outlineLevel="0" collapsed="false">
      <c r="B500" s="33"/>
      <c r="C500" s="29"/>
    </row>
    <row r="501" customFormat="false" ht="18.75" hidden="false" customHeight="true" outlineLevel="0" collapsed="false">
      <c r="B501" s="33"/>
      <c r="C501" s="29"/>
    </row>
    <row r="502" customFormat="false" ht="18.75" hidden="false" customHeight="true" outlineLevel="0" collapsed="false">
      <c r="B502" s="33"/>
      <c r="C502" s="29"/>
    </row>
    <row r="503" customFormat="false" ht="18.75" hidden="false" customHeight="true" outlineLevel="0" collapsed="false">
      <c r="B503" s="33"/>
      <c r="C503" s="29"/>
    </row>
    <row r="504" customFormat="false" ht="18.75" hidden="false" customHeight="true" outlineLevel="0" collapsed="false">
      <c r="B504" s="33"/>
      <c r="C504" s="29"/>
    </row>
    <row r="505" customFormat="false" ht="18.75" hidden="false" customHeight="true" outlineLevel="0" collapsed="false">
      <c r="B505" s="33"/>
      <c r="C505" s="29"/>
    </row>
    <row r="506" customFormat="false" ht="18.75" hidden="false" customHeight="true" outlineLevel="0" collapsed="false">
      <c r="B506" s="33"/>
      <c r="C506" s="29"/>
    </row>
    <row r="507" customFormat="false" ht="18.75" hidden="false" customHeight="true" outlineLevel="0" collapsed="false">
      <c r="B507" s="33"/>
      <c r="C507" s="29"/>
    </row>
    <row r="508" customFormat="false" ht="18.75" hidden="false" customHeight="true" outlineLevel="0" collapsed="false">
      <c r="B508" s="33"/>
      <c r="C508" s="29"/>
    </row>
    <row r="509" customFormat="false" ht="18.75" hidden="false" customHeight="true" outlineLevel="0" collapsed="false">
      <c r="B509" s="33"/>
      <c r="C509" s="29"/>
    </row>
    <row r="510" customFormat="false" ht="18.75" hidden="false" customHeight="true" outlineLevel="0" collapsed="false">
      <c r="B510" s="33"/>
      <c r="C510" s="29"/>
    </row>
    <row r="511" customFormat="false" ht="18.75" hidden="false" customHeight="true" outlineLevel="0" collapsed="false">
      <c r="B511" s="33"/>
      <c r="C511" s="29"/>
    </row>
    <row r="512" customFormat="false" ht="18.75" hidden="false" customHeight="true" outlineLevel="0" collapsed="false">
      <c r="B512" s="33"/>
      <c r="C512" s="29"/>
    </row>
    <row r="513" customFormat="false" ht="18.75" hidden="false" customHeight="true" outlineLevel="0" collapsed="false">
      <c r="B513" s="33"/>
      <c r="C513" s="29"/>
    </row>
    <row r="514" customFormat="false" ht="18.75" hidden="false" customHeight="true" outlineLevel="0" collapsed="false">
      <c r="B514" s="33"/>
      <c r="C514" s="29"/>
    </row>
    <row r="515" customFormat="false" ht="18.75" hidden="false" customHeight="true" outlineLevel="0" collapsed="false">
      <c r="B515" s="33"/>
      <c r="C515" s="29"/>
    </row>
    <row r="516" customFormat="false" ht="18.75" hidden="false" customHeight="true" outlineLevel="0" collapsed="false">
      <c r="B516" s="33"/>
      <c r="C516" s="29"/>
    </row>
    <row r="517" customFormat="false" ht="18.75" hidden="false" customHeight="true" outlineLevel="0" collapsed="false">
      <c r="B517" s="33"/>
      <c r="C517" s="29"/>
    </row>
    <row r="518" customFormat="false" ht="18.75" hidden="false" customHeight="true" outlineLevel="0" collapsed="false">
      <c r="B518" s="33"/>
      <c r="C518" s="29"/>
    </row>
    <row r="519" customFormat="false" ht="18.75" hidden="false" customHeight="true" outlineLevel="0" collapsed="false">
      <c r="B519" s="33"/>
      <c r="C519" s="29"/>
    </row>
    <row r="520" customFormat="false" ht="18.75" hidden="false" customHeight="true" outlineLevel="0" collapsed="false">
      <c r="B520" s="33"/>
      <c r="C520" s="29"/>
    </row>
    <row r="521" customFormat="false" ht="18.75" hidden="false" customHeight="true" outlineLevel="0" collapsed="false">
      <c r="B521" s="33"/>
      <c r="C521" s="29"/>
    </row>
    <row r="522" customFormat="false" ht="18.75" hidden="false" customHeight="true" outlineLevel="0" collapsed="false">
      <c r="B522" s="33"/>
      <c r="C522" s="29"/>
    </row>
    <row r="523" customFormat="false" ht="18.75" hidden="false" customHeight="true" outlineLevel="0" collapsed="false">
      <c r="B523" s="33"/>
      <c r="C523" s="29"/>
    </row>
    <row r="524" customFormat="false" ht="18.75" hidden="false" customHeight="true" outlineLevel="0" collapsed="false">
      <c r="B524" s="33"/>
      <c r="C524" s="29"/>
    </row>
    <row r="525" customFormat="false" ht="18.75" hidden="false" customHeight="true" outlineLevel="0" collapsed="false">
      <c r="B525" s="33"/>
      <c r="C525" s="29"/>
    </row>
    <row r="526" customFormat="false" ht="18.75" hidden="false" customHeight="true" outlineLevel="0" collapsed="false">
      <c r="B526" s="33"/>
      <c r="C526" s="29"/>
    </row>
    <row r="527" customFormat="false" ht="18.75" hidden="false" customHeight="true" outlineLevel="0" collapsed="false">
      <c r="B527" s="33"/>
      <c r="C527" s="29"/>
    </row>
    <row r="528" customFormat="false" ht="18.75" hidden="false" customHeight="true" outlineLevel="0" collapsed="false">
      <c r="B528" s="33"/>
      <c r="C528" s="29"/>
    </row>
    <row r="529" customFormat="false" ht="18.75" hidden="false" customHeight="true" outlineLevel="0" collapsed="false">
      <c r="B529" s="33"/>
      <c r="C529" s="29"/>
    </row>
    <row r="530" customFormat="false" ht="18.75" hidden="false" customHeight="true" outlineLevel="0" collapsed="false">
      <c r="B530" s="33"/>
      <c r="C530" s="29"/>
    </row>
    <row r="531" customFormat="false" ht="18.75" hidden="false" customHeight="true" outlineLevel="0" collapsed="false">
      <c r="B531" s="33"/>
      <c r="C531" s="29"/>
    </row>
    <row r="532" customFormat="false" ht="18.75" hidden="false" customHeight="true" outlineLevel="0" collapsed="false">
      <c r="B532" s="33"/>
      <c r="C532" s="29"/>
    </row>
    <row r="533" customFormat="false" ht="18.75" hidden="false" customHeight="true" outlineLevel="0" collapsed="false">
      <c r="B533" s="33"/>
      <c r="C533" s="29"/>
    </row>
    <row r="534" customFormat="false" ht="18.75" hidden="false" customHeight="true" outlineLevel="0" collapsed="false">
      <c r="B534" s="33"/>
      <c r="C534" s="29"/>
    </row>
    <row r="535" customFormat="false" ht="18.75" hidden="false" customHeight="true" outlineLevel="0" collapsed="false">
      <c r="B535" s="33"/>
      <c r="C535" s="29"/>
    </row>
    <row r="536" customFormat="false" ht="18.75" hidden="false" customHeight="true" outlineLevel="0" collapsed="false">
      <c r="B536" s="33"/>
      <c r="C536" s="29"/>
    </row>
    <row r="537" customFormat="false" ht="18.75" hidden="false" customHeight="true" outlineLevel="0" collapsed="false">
      <c r="B537" s="33"/>
      <c r="C537" s="29"/>
    </row>
    <row r="538" customFormat="false" ht="18.75" hidden="false" customHeight="true" outlineLevel="0" collapsed="false">
      <c r="B538" s="33"/>
      <c r="C538" s="29"/>
    </row>
    <row r="539" customFormat="false" ht="18.75" hidden="false" customHeight="true" outlineLevel="0" collapsed="false">
      <c r="B539" s="33"/>
      <c r="C539" s="29"/>
    </row>
    <row r="540" customFormat="false" ht="18.75" hidden="false" customHeight="true" outlineLevel="0" collapsed="false">
      <c r="B540" s="33"/>
      <c r="C540" s="29"/>
    </row>
    <row r="541" customFormat="false" ht="18.75" hidden="false" customHeight="true" outlineLevel="0" collapsed="false">
      <c r="B541" s="33"/>
      <c r="C541" s="29"/>
    </row>
    <row r="542" customFormat="false" ht="18.75" hidden="false" customHeight="true" outlineLevel="0" collapsed="false">
      <c r="B542" s="33"/>
      <c r="C542" s="29"/>
    </row>
    <row r="543" customFormat="false" ht="18.75" hidden="false" customHeight="true" outlineLevel="0" collapsed="false">
      <c r="B543" s="33"/>
      <c r="C543" s="29"/>
    </row>
    <row r="544" customFormat="false" ht="18.75" hidden="false" customHeight="true" outlineLevel="0" collapsed="false">
      <c r="B544" s="33"/>
      <c r="C544" s="29"/>
    </row>
    <row r="545" customFormat="false" ht="18.75" hidden="false" customHeight="true" outlineLevel="0" collapsed="false">
      <c r="B545" s="33"/>
      <c r="C545" s="29"/>
    </row>
    <row r="546" customFormat="false" ht="18.75" hidden="false" customHeight="true" outlineLevel="0" collapsed="false">
      <c r="B546" s="33"/>
      <c r="C546" s="29"/>
    </row>
    <row r="547" customFormat="false" ht="18.75" hidden="false" customHeight="true" outlineLevel="0" collapsed="false">
      <c r="B547" s="33"/>
      <c r="C547" s="29"/>
    </row>
    <row r="548" customFormat="false" ht="18.75" hidden="false" customHeight="true" outlineLevel="0" collapsed="false">
      <c r="B548" s="33"/>
      <c r="C548" s="29"/>
    </row>
    <row r="549" customFormat="false" ht="18.75" hidden="false" customHeight="true" outlineLevel="0" collapsed="false">
      <c r="B549" s="33"/>
      <c r="C549" s="29"/>
    </row>
    <row r="550" customFormat="false" ht="18.75" hidden="false" customHeight="true" outlineLevel="0" collapsed="false">
      <c r="B550" s="33"/>
      <c r="C550" s="29"/>
    </row>
    <row r="551" customFormat="false" ht="18.75" hidden="false" customHeight="true" outlineLevel="0" collapsed="false">
      <c r="B551" s="33"/>
      <c r="C551" s="29"/>
    </row>
    <row r="552" customFormat="false" ht="18.75" hidden="false" customHeight="true" outlineLevel="0" collapsed="false">
      <c r="B552" s="33"/>
      <c r="C552" s="29"/>
    </row>
    <row r="553" customFormat="false" ht="18.75" hidden="false" customHeight="true" outlineLevel="0" collapsed="false">
      <c r="B553" s="33"/>
      <c r="C553" s="29"/>
    </row>
    <row r="554" customFormat="false" ht="18.75" hidden="false" customHeight="true" outlineLevel="0" collapsed="false">
      <c r="B554" s="33"/>
      <c r="C554" s="29"/>
    </row>
    <row r="555" customFormat="false" ht="18.75" hidden="false" customHeight="true" outlineLevel="0" collapsed="false">
      <c r="B555" s="33"/>
      <c r="C555" s="29"/>
    </row>
    <row r="556" customFormat="false" ht="18.75" hidden="false" customHeight="true" outlineLevel="0" collapsed="false">
      <c r="B556" s="33"/>
      <c r="C556" s="29"/>
    </row>
    <row r="557" customFormat="false" ht="18.75" hidden="false" customHeight="true" outlineLevel="0" collapsed="false">
      <c r="B557" s="33"/>
      <c r="C557" s="29"/>
    </row>
    <row r="558" customFormat="false" ht="18.75" hidden="false" customHeight="true" outlineLevel="0" collapsed="false">
      <c r="B558" s="33"/>
      <c r="C558" s="29"/>
    </row>
    <row r="559" customFormat="false" ht="18.75" hidden="false" customHeight="true" outlineLevel="0" collapsed="false">
      <c r="B559" s="33"/>
      <c r="C559" s="29"/>
    </row>
    <row r="560" customFormat="false" ht="18.75" hidden="false" customHeight="true" outlineLevel="0" collapsed="false">
      <c r="B560" s="33"/>
      <c r="C560" s="29"/>
    </row>
    <row r="561" customFormat="false" ht="18.75" hidden="false" customHeight="true" outlineLevel="0" collapsed="false">
      <c r="B561" s="33"/>
      <c r="C561" s="29"/>
    </row>
    <row r="562" customFormat="false" ht="18.75" hidden="false" customHeight="true" outlineLevel="0" collapsed="false">
      <c r="B562" s="33"/>
      <c r="C562" s="29"/>
    </row>
    <row r="563" customFormat="false" ht="18.75" hidden="false" customHeight="true" outlineLevel="0" collapsed="false">
      <c r="B563" s="33"/>
      <c r="C563" s="29"/>
    </row>
    <row r="564" customFormat="false" ht="18.75" hidden="false" customHeight="true" outlineLevel="0" collapsed="false">
      <c r="B564" s="33"/>
      <c r="C564" s="29"/>
    </row>
    <row r="565" customFormat="false" ht="18.75" hidden="false" customHeight="true" outlineLevel="0" collapsed="false">
      <c r="B565" s="33"/>
      <c r="C565" s="29"/>
    </row>
    <row r="566" customFormat="false" ht="18.75" hidden="false" customHeight="true" outlineLevel="0" collapsed="false">
      <c r="B566" s="33"/>
      <c r="C566" s="29"/>
    </row>
    <row r="567" customFormat="false" ht="18.75" hidden="false" customHeight="true" outlineLevel="0" collapsed="false">
      <c r="B567" s="33"/>
      <c r="C567" s="29"/>
    </row>
    <row r="568" customFormat="false" ht="18.75" hidden="false" customHeight="true" outlineLevel="0" collapsed="false">
      <c r="B568" s="33"/>
      <c r="C568" s="29"/>
    </row>
    <row r="569" customFormat="false" ht="18.75" hidden="false" customHeight="true" outlineLevel="0" collapsed="false">
      <c r="B569" s="33"/>
      <c r="C569" s="29"/>
    </row>
    <row r="570" customFormat="false" ht="18.75" hidden="false" customHeight="true" outlineLevel="0" collapsed="false">
      <c r="B570" s="33"/>
      <c r="C570" s="29"/>
    </row>
    <row r="571" customFormat="false" ht="18.75" hidden="false" customHeight="true" outlineLevel="0" collapsed="false">
      <c r="B571" s="33"/>
      <c r="C571" s="29"/>
    </row>
    <row r="572" customFormat="false" ht="18.75" hidden="false" customHeight="true" outlineLevel="0" collapsed="false">
      <c r="B572" s="33"/>
      <c r="C572" s="29"/>
    </row>
    <row r="573" customFormat="false" ht="18.75" hidden="false" customHeight="true" outlineLevel="0" collapsed="false">
      <c r="B573" s="33"/>
      <c r="C573" s="29"/>
    </row>
    <row r="574" customFormat="false" ht="18.75" hidden="false" customHeight="true" outlineLevel="0" collapsed="false">
      <c r="B574" s="33"/>
      <c r="C574" s="29"/>
    </row>
    <row r="575" customFormat="false" ht="18.75" hidden="false" customHeight="true" outlineLevel="0" collapsed="false">
      <c r="B575" s="33"/>
      <c r="C575" s="29"/>
    </row>
    <row r="576" customFormat="false" ht="18.75" hidden="false" customHeight="true" outlineLevel="0" collapsed="false">
      <c r="B576" s="33"/>
      <c r="C576" s="29"/>
    </row>
    <row r="577" customFormat="false" ht="18.75" hidden="false" customHeight="true" outlineLevel="0" collapsed="false">
      <c r="B577" s="33"/>
      <c r="C577" s="29"/>
    </row>
    <row r="578" customFormat="false" ht="18.75" hidden="false" customHeight="true" outlineLevel="0" collapsed="false">
      <c r="B578" s="33"/>
      <c r="C578" s="29"/>
    </row>
    <row r="579" customFormat="false" ht="18.75" hidden="false" customHeight="true" outlineLevel="0" collapsed="false">
      <c r="B579" s="33"/>
      <c r="C579" s="29"/>
    </row>
    <row r="580" customFormat="false" ht="18.75" hidden="false" customHeight="true" outlineLevel="0" collapsed="false">
      <c r="B580" s="33"/>
      <c r="C580" s="29"/>
    </row>
    <row r="581" customFormat="false" ht="18.75" hidden="false" customHeight="true" outlineLevel="0" collapsed="false">
      <c r="B581" s="33"/>
      <c r="C581" s="29"/>
    </row>
    <row r="582" customFormat="false" ht="18.75" hidden="false" customHeight="true" outlineLevel="0" collapsed="false">
      <c r="B582" s="33"/>
      <c r="C582" s="29"/>
    </row>
    <row r="583" customFormat="false" ht="18.75" hidden="false" customHeight="true" outlineLevel="0" collapsed="false">
      <c r="B583" s="33"/>
      <c r="C583" s="29"/>
    </row>
    <row r="584" customFormat="false" ht="18.75" hidden="false" customHeight="true" outlineLevel="0" collapsed="false">
      <c r="B584" s="33"/>
      <c r="C584" s="29"/>
    </row>
    <row r="585" customFormat="false" ht="18.75" hidden="false" customHeight="true" outlineLevel="0" collapsed="false">
      <c r="B585" s="33"/>
      <c r="C585" s="29"/>
    </row>
    <row r="586" customFormat="false" ht="18.75" hidden="false" customHeight="true" outlineLevel="0" collapsed="false">
      <c r="B586" s="33"/>
      <c r="C586" s="29"/>
    </row>
    <row r="587" customFormat="false" ht="18.75" hidden="false" customHeight="true" outlineLevel="0" collapsed="false">
      <c r="B587" s="33"/>
      <c r="C587" s="29"/>
    </row>
    <row r="588" customFormat="false" ht="18.75" hidden="false" customHeight="true" outlineLevel="0" collapsed="false">
      <c r="B588" s="33"/>
      <c r="C588" s="29"/>
    </row>
    <row r="589" customFormat="false" ht="18.75" hidden="false" customHeight="true" outlineLevel="0" collapsed="false">
      <c r="B589" s="33"/>
      <c r="C589" s="29"/>
    </row>
    <row r="590" customFormat="false" ht="18.75" hidden="false" customHeight="true" outlineLevel="0" collapsed="false">
      <c r="B590" s="33"/>
      <c r="C590" s="29"/>
    </row>
    <row r="591" customFormat="false" ht="18.75" hidden="false" customHeight="true" outlineLevel="0" collapsed="false">
      <c r="B591" s="33"/>
      <c r="C591" s="29"/>
    </row>
    <row r="592" customFormat="false" ht="18.75" hidden="false" customHeight="true" outlineLevel="0" collapsed="false">
      <c r="B592" s="33"/>
      <c r="C592" s="29"/>
    </row>
    <row r="593" customFormat="false" ht="18.75" hidden="false" customHeight="true" outlineLevel="0" collapsed="false">
      <c r="B593" s="33"/>
      <c r="C593" s="29"/>
    </row>
    <row r="594" customFormat="false" ht="18.75" hidden="false" customHeight="true" outlineLevel="0" collapsed="false">
      <c r="B594" s="33"/>
      <c r="C594" s="29"/>
    </row>
    <row r="595" customFormat="false" ht="18.75" hidden="false" customHeight="true" outlineLevel="0" collapsed="false">
      <c r="B595" s="33"/>
      <c r="C595" s="29"/>
    </row>
    <row r="596" customFormat="false" ht="18.75" hidden="false" customHeight="true" outlineLevel="0" collapsed="false">
      <c r="B596" s="33"/>
      <c r="C596" s="29"/>
    </row>
    <row r="597" customFormat="false" ht="18.75" hidden="false" customHeight="true" outlineLevel="0" collapsed="false">
      <c r="B597" s="33"/>
      <c r="C597" s="29"/>
    </row>
    <row r="598" customFormat="false" ht="18.75" hidden="false" customHeight="true" outlineLevel="0" collapsed="false">
      <c r="B598" s="33"/>
      <c r="C598" s="29"/>
    </row>
    <row r="599" customFormat="false" ht="18.75" hidden="false" customHeight="true" outlineLevel="0" collapsed="false">
      <c r="B599" s="33"/>
      <c r="C599" s="29"/>
    </row>
    <row r="600" customFormat="false" ht="18.75" hidden="false" customHeight="true" outlineLevel="0" collapsed="false">
      <c r="B600" s="33"/>
      <c r="C600" s="29"/>
    </row>
    <row r="601" customFormat="false" ht="18.75" hidden="false" customHeight="true" outlineLevel="0" collapsed="false">
      <c r="B601" s="33"/>
      <c r="C601" s="29"/>
    </row>
    <row r="602" customFormat="false" ht="18.75" hidden="false" customHeight="true" outlineLevel="0" collapsed="false">
      <c r="B602" s="33"/>
      <c r="C602" s="29"/>
    </row>
    <row r="603" customFormat="false" ht="18.75" hidden="false" customHeight="true" outlineLevel="0" collapsed="false">
      <c r="B603" s="33"/>
      <c r="C603" s="29"/>
    </row>
    <row r="604" customFormat="false" ht="18.75" hidden="false" customHeight="true" outlineLevel="0" collapsed="false">
      <c r="B604" s="33"/>
      <c r="C604" s="29"/>
    </row>
    <row r="605" customFormat="false" ht="18.75" hidden="false" customHeight="true" outlineLevel="0" collapsed="false">
      <c r="B605" s="33"/>
      <c r="C605" s="29"/>
    </row>
    <row r="606" customFormat="false" ht="18.75" hidden="false" customHeight="true" outlineLevel="0" collapsed="false">
      <c r="B606" s="33"/>
      <c r="C606" s="29"/>
    </row>
    <row r="607" customFormat="false" ht="18.75" hidden="false" customHeight="true" outlineLevel="0" collapsed="false">
      <c r="B607" s="33"/>
      <c r="C607" s="29"/>
    </row>
    <row r="608" customFormat="false" ht="18.75" hidden="false" customHeight="true" outlineLevel="0" collapsed="false">
      <c r="B608" s="33"/>
      <c r="C608" s="29"/>
    </row>
    <row r="609" customFormat="false" ht="18.75" hidden="false" customHeight="true" outlineLevel="0" collapsed="false">
      <c r="B609" s="33"/>
      <c r="C609" s="29"/>
    </row>
    <row r="610" customFormat="false" ht="18.75" hidden="false" customHeight="true" outlineLevel="0" collapsed="false">
      <c r="B610" s="33"/>
      <c r="C610" s="29"/>
    </row>
    <row r="611" customFormat="false" ht="18.75" hidden="false" customHeight="true" outlineLevel="0" collapsed="false">
      <c r="B611" s="33"/>
      <c r="C611" s="29"/>
    </row>
    <row r="612" customFormat="false" ht="18.75" hidden="false" customHeight="true" outlineLevel="0" collapsed="false">
      <c r="B612" s="33"/>
      <c r="C612" s="29"/>
    </row>
    <row r="613" customFormat="false" ht="18.75" hidden="false" customHeight="true" outlineLevel="0" collapsed="false">
      <c r="B613" s="33"/>
      <c r="C613" s="29"/>
    </row>
    <row r="614" customFormat="false" ht="18.75" hidden="false" customHeight="true" outlineLevel="0" collapsed="false">
      <c r="B614" s="33"/>
      <c r="C614" s="29"/>
    </row>
    <row r="615" customFormat="false" ht="18.75" hidden="false" customHeight="true" outlineLevel="0" collapsed="false">
      <c r="B615" s="33"/>
      <c r="C615" s="29"/>
    </row>
    <row r="616" customFormat="false" ht="18.75" hidden="false" customHeight="true" outlineLevel="0" collapsed="false">
      <c r="B616" s="33"/>
      <c r="C616" s="29"/>
    </row>
    <row r="617" customFormat="false" ht="18.75" hidden="false" customHeight="true" outlineLevel="0" collapsed="false">
      <c r="B617" s="33"/>
      <c r="C617" s="29"/>
    </row>
    <row r="618" customFormat="false" ht="18.75" hidden="false" customHeight="true" outlineLevel="0" collapsed="false">
      <c r="B618" s="33"/>
      <c r="C618" s="29"/>
    </row>
    <row r="619" customFormat="false" ht="18.75" hidden="false" customHeight="true" outlineLevel="0" collapsed="false">
      <c r="B619" s="33"/>
      <c r="C619" s="29"/>
    </row>
    <row r="620" customFormat="false" ht="18.75" hidden="false" customHeight="true" outlineLevel="0" collapsed="false">
      <c r="B620" s="33"/>
      <c r="C620" s="29"/>
    </row>
    <row r="621" customFormat="false" ht="18.75" hidden="false" customHeight="true" outlineLevel="0" collapsed="false">
      <c r="B621" s="33"/>
      <c r="C621" s="29"/>
    </row>
    <row r="622" customFormat="false" ht="18.75" hidden="false" customHeight="true" outlineLevel="0" collapsed="false">
      <c r="B622" s="33"/>
      <c r="C622" s="29"/>
    </row>
    <row r="623" customFormat="false" ht="18.75" hidden="false" customHeight="true" outlineLevel="0" collapsed="false">
      <c r="B623" s="33"/>
      <c r="C623" s="29"/>
    </row>
    <row r="624" customFormat="false" ht="18.75" hidden="false" customHeight="true" outlineLevel="0" collapsed="false">
      <c r="B624" s="33"/>
      <c r="C624" s="29"/>
    </row>
    <row r="625" customFormat="false" ht="18.75" hidden="false" customHeight="true" outlineLevel="0" collapsed="false">
      <c r="B625" s="33"/>
      <c r="C625" s="29"/>
    </row>
    <row r="626" customFormat="false" ht="18.75" hidden="false" customHeight="true" outlineLevel="0" collapsed="false">
      <c r="B626" s="33"/>
      <c r="C626" s="29"/>
    </row>
    <row r="627" customFormat="false" ht="18.75" hidden="false" customHeight="true" outlineLevel="0" collapsed="false">
      <c r="B627" s="33"/>
      <c r="C627" s="29"/>
    </row>
    <row r="628" customFormat="false" ht="18.75" hidden="false" customHeight="true" outlineLevel="0" collapsed="false">
      <c r="B628" s="33"/>
      <c r="C628" s="29"/>
    </row>
    <row r="629" customFormat="false" ht="18.75" hidden="false" customHeight="true" outlineLevel="0" collapsed="false">
      <c r="B629" s="33"/>
      <c r="C629" s="29"/>
    </row>
    <row r="630" customFormat="false" ht="18.75" hidden="false" customHeight="true" outlineLevel="0" collapsed="false">
      <c r="B630" s="33"/>
      <c r="C630" s="29"/>
    </row>
    <row r="631" customFormat="false" ht="18.75" hidden="false" customHeight="true" outlineLevel="0" collapsed="false">
      <c r="B631" s="33"/>
      <c r="C631" s="29"/>
    </row>
    <row r="632" customFormat="false" ht="18.75" hidden="false" customHeight="true" outlineLevel="0" collapsed="false">
      <c r="B632" s="33"/>
      <c r="C632" s="29"/>
    </row>
    <row r="633" customFormat="false" ht="18.75" hidden="false" customHeight="true" outlineLevel="0" collapsed="false">
      <c r="B633" s="33"/>
      <c r="C633" s="29"/>
    </row>
    <row r="634" customFormat="false" ht="18.75" hidden="false" customHeight="true" outlineLevel="0" collapsed="false">
      <c r="B634" s="33"/>
      <c r="C634" s="29"/>
    </row>
    <row r="635" customFormat="false" ht="18.75" hidden="false" customHeight="true" outlineLevel="0" collapsed="false">
      <c r="B635" s="33"/>
      <c r="C635" s="29"/>
    </row>
    <row r="636" customFormat="false" ht="18.75" hidden="false" customHeight="true" outlineLevel="0" collapsed="false">
      <c r="B636" s="33"/>
      <c r="C636" s="29"/>
    </row>
    <row r="637" customFormat="false" ht="18.75" hidden="false" customHeight="true" outlineLevel="0" collapsed="false">
      <c r="B637" s="33"/>
      <c r="C637" s="29"/>
    </row>
    <row r="638" customFormat="false" ht="18.75" hidden="false" customHeight="true" outlineLevel="0" collapsed="false">
      <c r="B638" s="33"/>
      <c r="C638" s="29"/>
    </row>
    <row r="639" customFormat="false" ht="18.75" hidden="false" customHeight="true" outlineLevel="0" collapsed="false">
      <c r="B639" s="33"/>
      <c r="C639" s="29"/>
    </row>
    <row r="640" customFormat="false" ht="18.75" hidden="false" customHeight="true" outlineLevel="0" collapsed="false">
      <c r="B640" s="33"/>
      <c r="C640" s="29"/>
    </row>
    <row r="641" customFormat="false" ht="18.75" hidden="false" customHeight="true" outlineLevel="0" collapsed="false">
      <c r="B641" s="33"/>
      <c r="C641" s="29"/>
    </row>
    <row r="642" customFormat="false" ht="18.75" hidden="false" customHeight="true" outlineLevel="0" collapsed="false">
      <c r="B642" s="33"/>
      <c r="C642" s="29"/>
    </row>
    <row r="643" customFormat="false" ht="18.75" hidden="false" customHeight="true" outlineLevel="0" collapsed="false">
      <c r="B643" s="33"/>
      <c r="C643" s="29"/>
    </row>
    <row r="644" customFormat="false" ht="18.75" hidden="false" customHeight="true" outlineLevel="0" collapsed="false">
      <c r="B644" s="33"/>
      <c r="C644" s="29"/>
    </row>
    <row r="645" customFormat="false" ht="18.75" hidden="false" customHeight="true" outlineLevel="0" collapsed="false">
      <c r="B645" s="33"/>
      <c r="C645" s="29"/>
    </row>
    <row r="646" customFormat="false" ht="18.75" hidden="false" customHeight="true" outlineLevel="0" collapsed="false">
      <c r="B646" s="33"/>
      <c r="C646" s="29"/>
    </row>
    <row r="647" customFormat="false" ht="18.75" hidden="false" customHeight="true" outlineLevel="0" collapsed="false">
      <c r="B647" s="33"/>
      <c r="C647" s="29"/>
    </row>
    <row r="648" customFormat="false" ht="18.75" hidden="false" customHeight="true" outlineLevel="0" collapsed="false">
      <c r="B648" s="33"/>
      <c r="C648" s="29"/>
    </row>
    <row r="649" customFormat="false" ht="18.75" hidden="false" customHeight="true" outlineLevel="0" collapsed="false">
      <c r="B649" s="33"/>
      <c r="C649" s="29"/>
    </row>
    <row r="650" customFormat="false" ht="18.75" hidden="false" customHeight="true" outlineLevel="0" collapsed="false">
      <c r="B650" s="33"/>
      <c r="C650" s="29"/>
    </row>
    <row r="651" customFormat="false" ht="18.75" hidden="false" customHeight="true" outlineLevel="0" collapsed="false">
      <c r="B651" s="33"/>
      <c r="C651" s="29"/>
    </row>
    <row r="652" customFormat="false" ht="18.75" hidden="false" customHeight="true" outlineLevel="0" collapsed="false">
      <c r="B652" s="33"/>
      <c r="C652" s="29"/>
    </row>
    <row r="653" customFormat="false" ht="18.75" hidden="false" customHeight="true" outlineLevel="0" collapsed="false">
      <c r="B653" s="33"/>
      <c r="C653" s="29"/>
    </row>
    <row r="654" customFormat="false" ht="18.75" hidden="false" customHeight="true" outlineLevel="0" collapsed="false">
      <c r="B654" s="33"/>
      <c r="C654" s="29"/>
    </row>
    <row r="655" customFormat="false" ht="18.75" hidden="false" customHeight="true" outlineLevel="0" collapsed="false">
      <c r="B655" s="33"/>
      <c r="C655" s="29"/>
    </row>
    <row r="656" customFormat="false" ht="18.75" hidden="false" customHeight="true" outlineLevel="0" collapsed="false">
      <c r="B656" s="33"/>
      <c r="C656" s="29"/>
    </row>
    <row r="657" customFormat="false" ht="18.75" hidden="false" customHeight="true" outlineLevel="0" collapsed="false">
      <c r="B657" s="33"/>
      <c r="C657" s="29"/>
    </row>
    <row r="658" customFormat="false" ht="18.75" hidden="false" customHeight="true" outlineLevel="0" collapsed="false">
      <c r="B658" s="33"/>
      <c r="C658" s="29"/>
    </row>
    <row r="659" customFormat="false" ht="18.75" hidden="false" customHeight="true" outlineLevel="0" collapsed="false">
      <c r="B659" s="33"/>
      <c r="C659" s="29"/>
    </row>
    <row r="660" customFormat="false" ht="18.75" hidden="false" customHeight="true" outlineLevel="0" collapsed="false">
      <c r="B660" s="33"/>
      <c r="C660" s="29"/>
    </row>
    <row r="661" customFormat="false" ht="18.75" hidden="false" customHeight="true" outlineLevel="0" collapsed="false">
      <c r="B661" s="33"/>
      <c r="C661" s="29"/>
    </row>
    <row r="662" customFormat="false" ht="18.75" hidden="false" customHeight="true" outlineLevel="0" collapsed="false">
      <c r="B662" s="33"/>
      <c r="C662" s="29"/>
    </row>
    <row r="663" customFormat="false" ht="18.75" hidden="false" customHeight="true" outlineLevel="0" collapsed="false">
      <c r="B663" s="33"/>
      <c r="C663" s="29"/>
    </row>
    <row r="664" customFormat="false" ht="18.75" hidden="false" customHeight="true" outlineLevel="0" collapsed="false">
      <c r="B664" s="33"/>
      <c r="C664" s="29"/>
    </row>
    <row r="665" customFormat="false" ht="18.75" hidden="false" customHeight="true" outlineLevel="0" collapsed="false">
      <c r="B665" s="33"/>
      <c r="C665" s="29"/>
    </row>
    <row r="666" customFormat="false" ht="18.75" hidden="false" customHeight="true" outlineLevel="0" collapsed="false">
      <c r="B666" s="33"/>
      <c r="C666" s="29"/>
    </row>
    <row r="667" customFormat="false" ht="18.75" hidden="false" customHeight="true" outlineLevel="0" collapsed="false">
      <c r="B667" s="33"/>
      <c r="C667" s="29"/>
    </row>
    <row r="668" customFormat="false" ht="18.75" hidden="false" customHeight="true" outlineLevel="0" collapsed="false">
      <c r="B668" s="33"/>
      <c r="C668" s="29"/>
    </row>
    <row r="669" customFormat="false" ht="18.75" hidden="false" customHeight="true" outlineLevel="0" collapsed="false">
      <c r="B669" s="33"/>
      <c r="C669" s="29"/>
    </row>
    <row r="670" customFormat="false" ht="18.75" hidden="false" customHeight="true" outlineLevel="0" collapsed="false">
      <c r="B670" s="33"/>
      <c r="C670" s="29"/>
    </row>
    <row r="671" customFormat="false" ht="18.75" hidden="false" customHeight="true" outlineLevel="0" collapsed="false">
      <c r="B671" s="33"/>
      <c r="C671" s="29"/>
    </row>
    <row r="672" customFormat="false" ht="18.75" hidden="false" customHeight="true" outlineLevel="0" collapsed="false">
      <c r="B672" s="33"/>
      <c r="C672" s="29"/>
    </row>
    <row r="673" customFormat="false" ht="18.75" hidden="false" customHeight="true" outlineLevel="0" collapsed="false">
      <c r="B673" s="33"/>
      <c r="C673" s="29"/>
    </row>
    <row r="674" customFormat="false" ht="18.75" hidden="false" customHeight="true" outlineLevel="0" collapsed="false">
      <c r="B674" s="33"/>
      <c r="C674" s="29"/>
    </row>
    <row r="675" customFormat="false" ht="18.75" hidden="false" customHeight="true" outlineLevel="0" collapsed="false">
      <c r="B675" s="33"/>
      <c r="C675" s="29"/>
    </row>
    <row r="676" customFormat="false" ht="18.75" hidden="false" customHeight="true" outlineLevel="0" collapsed="false">
      <c r="B676" s="33"/>
      <c r="C676" s="29"/>
    </row>
    <row r="677" customFormat="false" ht="18.75" hidden="false" customHeight="true" outlineLevel="0" collapsed="false">
      <c r="B677" s="33"/>
      <c r="C677" s="29"/>
    </row>
    <row r="678" customFormat="false" ht="18.75" hidden="false" customHeight="true" outlineLevel="0" collapsed="false">
      <c r="B678" s="33"/>
      <c r="C678" s="29"/>
    </row>
    <row r="679" customFormat="false" ht="18.75" hidden="false" customHeight="true" outlineLevel="0" collapsed="false">
      <c r="B679" s="33"/>
      <c r="C679" s="29"/>
    </row>
    <row r="680" customFormat="false" ht="18.75" hidden="false" customHeight="true" outlineLevel="0" collapsed="false">
      <c r="B680" s="33"/>
      <c r="C680" s="29"/>
    </row>
    <row r="681" customFormat="false" ht="18.75" hidden="false" customHeight="true" outlineLevel="0" collapsed="false">
      <c r="B681" s="33"/>
      <c r="C681" s="29"/>
    </row>
    <row r="682" customFormat="false" ht="18.75" hidden="false" customHeight="true" outlineLevel="0" collapsed="false">
      <c r="B682" s="33"/>
      <c r="C682" s="29"/>
    </row>
    <row r="683" customFormat="false" ht="18.75" hidden="false" customHeight="true" outlineLevel="0" collapsed="false">
      <c r="B683" s="33"/>
      <c r="C683" s="29"/>
    </row>
    <row r="684" customFormat="false" ht="18.75" hidden="false" customHeight="true" outlineLevel="0" collapsed="false">
      <c r="B684" s="33"/>
      <c r="C684" s="29"/>
    </row>
    <row r="685" customFormat="false" ht="18.75" hidden="false" customHeight="true" outlineLevel="0" collapsed="false">
      <c r="B685" s="33"/>
      <c r="C685" s="29"/>
    </row>
    <row r="686" customFormat="false" ht="18.75" hidden="false" customHeight="true" outlineLevel="0" collapsed="false">
      <c r="B686" s="33"/>
      <c r="C686" s="29"/>
    </row>
    <row r="687" customFormat="false" ht="18.75" hidden="false" customHeight="true" outlineLevel="0" collapsed="false">
      <c r="B687" s="33"/>
      <c r="C687" s="29"/>
    </row>
    <row r="688" customFormat="false" ht="18.75" hidden="false" customHeight="true" outlineLevel="0" collapsed="false">
      <c r="B688" s="33"/>
      <c r="C688" s="29"/>
    </row>
    <row r="689" customFormat="false" ht="18.75" hidden="false" customHeight="true" outlineLevel="0" collapsed="false">
      <c r="B689" s="33"/>
      <c r="C689" s="29"/>
    </row>
    <row r="690" customFormat="false" ht="18.75" hidden="false" customHeight="true" outlineLevel="0" collapsed="false">
      <c r="B690" s="33"/>
      <c r="C690" s="29"/>
    </row>
    <row r="691" customFormat="false" ht="18.75" hidden="false" customHeight="true" outlineLevel="0" collapsed="false">
      <c r="B691" s="33"/>
      <c r="C691" s="29"/>
    </row>
    <row r="692" customFormat="false" ht="18.75" hidden="false" customHeight="true" outlineLevel="0" collapsed="false">
      <c r="B692" s="33"/>
      <c r="C692" s="29"/>
    </row>
    <row r="693" customFormat="false" ht="18.75" hidden="false" customHeight="true" outlineLevel="0" collapsed="false">
      <c r="B693" s="33"/>
      <c r="C693" s="29"/>
    </row>
    <row r="694" customFormat="false" ht="18.75" hidden="false" customHeight="true" outlineLevel="0" collapsed="false">
      <c r="B694" s="33"/>
      <c r="C694" s="29"/>
    </row>
    <row r="695" customFormat="false" ht="18.75" hidden="false" customHeight="true" outlineLevel="0" collapsed="false">
      <c r="B695" s="33"/>
      <c r="C695" s="29"/>
    </row>
    <row r="696" customFormat="false" ht="18.75" hidden="false" customHeight="true" outlineLevel="0" collapsed="false">
      <c r="B696" s="33"/>
      <c r="C696" s="29"/>
    </row>
    <row r="697" customFormat="false" ht="18.75" hidden="false" customHeight="true" outlineLevel="0" collapsed="false">
      <c r="B697" s="33"/>
      <c r="C697" s="29"/>
    </row>
    <row r="698" customFormat="false" ht="18.75" hidden="false" customHeight="true" outlineLevel="0" collapsed="false">
      <c r="B698" s="33"/>
      <c r="C698" s="29"/>
    </row>
    <row r="699" customFormat="false" ht="18.75" hidden="false" customHeight="true" outlineLevel="0" collapsed="false">
      <c r="B699" s="33"/>
      <c r="C699" s="29"/>
    </row>
    <row r="700" customFormat="false" ht="18.75" hidden="false" customHeight="true" outlineLevel="0" collapsed="false">
      <c r="B700" s="33"/>
      <c r="C700" s="29"/>
    </row>
    <row r="701" customFormat="false" ht="18.75" hidden="false" customHeight="true" outlineLevel="0" collapsed="false">
      <c r="B701" s="33"/>
      <c r="C701" s="29"/>
    </row>
    <row r="702" customFormat="false" ht="18.75" hidden="false" customHeight="true" outlineLevel="0" collapsed="false">
      <c r="B702" s="33"/>
      <c r="C702" s="29"/>
    </row>
    <row r="703" customFormat="false" ht="18.75" hidden="false" customHeight="true" outlineLevel="0" collapsed="false">
      <c r="B703" s="33"/>
      <c r="C703" s="29"/>
    </row>
    <row r="704" customFormat="false" ht="18.75" hidden="false" customHeight="true" outlineLevel="0" collapsed="false">
      <c r="B704" s="33"/>
      <c r="C704" s="29"/>
    </row>
    <row r="705" customFormat="false" ht="18.75" hidden="false" customHeight="true" outlineLevel="0" collapsed="false">
      <c r="B705" s="33"/>
      <c r="C705" s="29"/>
    </row>
    <row r="706" customFormat="false" ht="18.75" hidden="false" customHeight="true" outlineLevel="0" collapsed="false">
      <c r="B706" s="33"/>
      <c r="C706" s="29"/>
    </row>
    <row r="707" customFormat="false" ht="18.75" hidden="false" customHeight="true" outlineLevel="0" collapsed="false">
      <c r="B707" s="33"/>
      <c r="C707" s="29"/>
    </row>
    <row r="708" customFormat="false" ht="18.75" hidden="false" customHeight="true" outlineLevel="0" collapsed="false">
      <c r="B708" s="33"/>
      <c r="C708" s="29"/>
    </row>
    <row r="709" customFormat="false" ht="18.75" hidden="false" customHeight="true" outlineLevel="0" collapsed="false">
      <c r="B709" s="33"/>
      <c r="C709" s="29"/>
    </row>
    <row r="710" customFormat="false" ht="18.75" hidden="false" customHeight="true" outlineLevel="0" collapsed="false">
      <c r="B710" s="33"/>
      <c r="C710" s="29"/>
    </row>
    <row r="711" customFormat="false" ht="18.75" hidden="false" customHeight="true" outlineLevel="0" collapsed="false">
      <c r="B711" s="33"/>
      <c r="C711" s="29"/>
    </row>
    <row r="712" customFormat="false" ht="18.75" hidden="false" customHeight="true" outlineLevel="0" collapsed="false">
      <c r="B712" s="33"/>
      <c r="C712" s="29"/>
    </row>
    <row r="713" customFormat="false" ht="18.75" hidden="false" customHeight="true" outlineLevel="0" collapsed="false">
      <c r="B713" s="33"/>
      <c r="C713" s="29"/>
    </row>
    <row r="714" customFormat="false" ht="18.75" hidden="false" customHeight="true" outlineLevel="0" collapsed="false">
      <c r="B714" s="33"/>
      <c r="C714" s="29"/>
    </row>
    <row r="715" customFormat="false" ht="18.75" hidden="false" customHeight="true" outlineLevel="0" collapsed="false">
      <c r="B715" s="33"/>
      <c r="C715" s="29"/>
    </row>
    <row r="716" customFormat="false" ht="18.75" hidden="false" customHeight="true" outlineLevel="0" collapsed="false">
      <c r="B716" s="33"/>
      <c r="C716" s="29"/>
    </row>
    <row r="717" customFormat="false" ht="18.75" hidden="false" customHeight="true" outlineLevel="0" collapsed="false">
      <c r="B717" s="33"/>
      <c r="C717" s="29"/>
    </row>
    <row r="718" customFormat="false" ht="18.75" hidden="false" customHeight="true" outlineLevel="0" collapsed="false">
      <c r="B718" s="33"/>
      <c r="C718" s="29"/>
    </row>
    <row r="719" customFormat="false" ht="18.75" hidden="false" customHeight="true" outlineLevel="0" collapsed="false">
      <c r="B719" s="33"/>
      <c r="C719" s="29"/>
    </row>
    <row r="720" customFormat="false" ht="18.75" hidden="false" customHeight="true" outlineLevel="0" collapsed="false">
      <c r="B720" s="33"/>
      <c r="C720" s="29"/>
    </row>
    <row r="721" customFormat="false" ht="18.75" hidden="false" customHeight="true" outlineLevel="0" collapsed="false">
      <c r="B721" s="33"/>
      <c r="C721" s="29"/>
    </row>
    <row r="722" customFormat="false" ht="18.75" hidden="false" customHeight="true" outlineLevel="0" collapsed="false">
      <c r="B722" s="33"/>
      <c r="C722" s="29"/>
    </row>
    <row r="723" customFormat="false" ht="18.75" hidden="false" customHeight="true" outlineLevel="0" collapsed="false">
      <c r="B723" s="33"/>
      <c r="C723" s="29"/>
    </row>
    <row r="724" customFormat="false" ht="18.75" hidden="false" customHeight="true" outlineLevel="0" collapsed="false">
      <c r="B724" s="33"/>
      <c r="C724" s="29"/>
    </row>
    <row r="725" customFormat="false" ht="18.75" hidden="false" customHeight="true" outlineLevel="0" collapsed="false">
      <c r="B725" s="33"/>
      <c r="C725" s="29"/>
    </row>
    <row r="726" customFormat="false" ht="18.75" hidden="false" customHeight="true" outlineLevel="0" collapsed="false">
      <c r="B726" s="33"/>
      <c r="C726" s="29"/>
    </row>
    <row r="727" customFormat="false" ht="18.75" hidden="false" customHeight="true" outlineLevel="0" collapsed="false">
      <c r="B727" s="33"/>
      <c r="C727" s="29"/>
    </row>
    <row r="728" customFormat="false" ht="18.75" hidden="false" customHeight="true" outlineLevel="0" collapsed="false">
      <c r="B728" s="33"/>
      <c r="C728" s="29"/>
    </row>
    <row r="729" customFormat="false" ht="18.75" hidden="false" customHeight="true" outlineLevel="0" collapsed="false">
      <c r="B729" s="33"/>
      <c r="C729" s="29"/>
    </row>
    <row r="730" customFormat="false" ht="18.75" hidden="false" customHeight="true" outlineLevel="0" collapsed="false">
      <c r="B730" s="33"/>
      <c r="C730" s="29"/>
    </row>
    <row r="731" customFormat="false" ht="18.75" hidden="false" customHeight="true" outlineLevel="0" collapsed="false">
      <c r="B731" s="33"/>
      <c r="C731" s="29"/>
    </row>
    <row r="732" customFormat="false" ht="18.75" hidden="false" customHeight="true" outlineLevel="0" collapsed="false">
      <c r="B732" s="33"/>
      <c r="C732" s="29"/>
    </row>
    <row r="733" customFormat="false" ht="18.75" hidden="false" customHeight="true" outlineLevel="0" collapsed="false">
      <c r="B733" s="33"/>
      <c r="C733" s="29"/>
    </row>
    <row r="734" customFormat="false" ht="18.75" hidden="false" customHeight="true" outlineLevel="0" collapsed="false">
      <c r="B734" s="33"/>
      <c r="C734" s="29"/>
    </row>
    <row r="735" customFormat="false" ht="18.75" hidden="false" customHeight="true" outlineLevel="0" collapsed="false">
      <c r="B735" s="33"/>
      <c r="C735" s="29"/>
    </row>
    <row r="736" customFormat="false" ht="18.75" hidden="false" customHeight="true" outlineLevel="0" collapsed="false">
      <c r="B736" s="33"/>
      <c r="C736" s="29"/>
    </row>
    <row r="737" customFormat="false" ht="18.75" hidden="false" customHeight="true" outlineLevel="0" collapsed="false">
      <c r="B737" s="33"/>
      <c r="C737" s="29"/>
    </row>
    <row r="738" customFormat="false" ht="18.75" hidden="false" customHeight="true" outlineLevel="0" collapsed="false">
      <c r="B738" s="33"/>
      <c r="C738" s="29"/>
    </row>
    <row r="739" customFormat="false" ht="18.75" hidden="false" customHeight="true" outlineLevel="0" collapsed="false">
      <c r="B739" s="33"/>
      <c r="C739" s="29"/>
    </row>
    <row r="740" customFormat="false" ht="18.75" hidden="false" customHeight="true" outlineLevel="0" collapsed="false">
      <c r="B740" s="33"/>
      <c r="C740" s="29"/>
    </row>
    <row r="741" customFormat="false" ht="18.75" hidden="false" customHeight="true" outlineLevel="0" collapsed="false">
      <c r="B741" s="33"/>
      <c r="C741" s="29"/>
    </row>
    <row r="742" customFormat="false" ht="18.75" hidden="false" customHeight="true" outlineLevel="0" collapsed="false">
      <c r="B742" s="33"/>
      <c r="C742" s="29"/>
    </row>
    <row r="743" customFormat="false" ht="18.75" hidden="false" customHeight="true" outlineLevel="0" collapsed="false">
      <c r="B743" s="33"/>
      <c r="C743" s="29"/>
    </row>
    <row r="744" customFormat="false" ht="18.75" hidden="false" customHeight="true" outlineLevel="0" collapsed="false">
      <c r="B744" s="33"/>
      <c r="C744" s="29"/>
    </row>
    <row r="745" customFormat="false" ht="18.75" hidden="false" customHeight="true" outlineLevel="0" collapsed="false">
      <c r="B745" s="33"/>
      <c r="C745" s="29"/>
    </row>
    <row r="746" customFormat="false" ht="18.75" hidden="false" customHeight="true" outlineLevel="0" collapsed="false">
      <c r="B746" s="33"/>
      <c r="C746" s="29"/>
    </row>
    <row r="747" customFormat="false" ht="18.75" hidden="false" customHeight="true" outlineLevel="0" collapsed="false">
      <c r="B747" s="33"/>
      <c r="C747" s="29"/>
    </row>
    <row r="748" customFormat="false" ht="18.75" hidden="false" customHeight="true" outlineLevel="0" collapsed="false">
      <c r="B748" s="33"/>
      <c r="C748" s="29"/>
    </row>
    <row r="749" customFormat="false" ht="18.75" hidden="false" customHeight="true" outlineLevel="0" collapsed="false">
      <c r="B749" s="33"/>
      <c r="C749" s="29"/>
    </row>
    <row r="750" customFormat="false" ht="18.75" hidden="false" customHeight="true" outlineLevel="0" collapsed="false">
      <c r="B750" s="33"/>
      <c r="C750" s="29"/>
    </row>
    <row r="751" customFormat="false" ht="18.75" hidden="false" customHeight="true" outlineLevel="0" collapsed="false">
      <c r="B751" s="33"/>
      <c r="C751" s="29"/>
    </row>
    <row r="752" customFormat="false" ht="18.75" hidden="false" customHeight="true" outlineLevel="0" collapsed="false">
      <c r="B752" s="33"/>
      <c r="C752" s="29"/>
    </row>
    <row r="753" customFormat="false" ht="18.75" hidden="false" customHeight="true" outlineLevel="0" collapsed="false">
      <c r="B753" s="33"/>
      <c r="C753" s="29"/>
    </row>
    <row r="754" customFormat="false" ht="18.75" hidden="false" customHeight="true" outlineLevel="0" collapsed="false">
      <c r="B754" s="33"/>
      <c r="C754" s="29"/>
    </row>
    <row r="755" customFormat="false" ht="18.75" hidden="false" customHeight="true" outlineLevel="0" collapsed="false">
      <c r="B755" s="33"/>
      <c r="C755" s="29"/>
    </row>
    <row r="756" customFormat="false" ht="18.75" hidden="false" customHeight="true" outlineLevel="0" collapsed="false">
      <c r="B756" s="33"/>
      <c r="C756" s="29"/>
    </row>
    <row r="757" customFormat="false" ht="18.75" hidden="false" customHeight="true" outlineLevel="0" collapsed="false">
      <c r="B757" s="33"/>
      <c r="C757" s="29"/>
    </row>
    <row r="758" customFormat="false" ht="18.75" hidden="false" customHeight="true" outlineLevel="0" collapsed="false">
      <c r="B758" s="33"/>
      <c r="C758" s="29"/>
    </row>
    <row r="759" customFormat="false" ht="18.75" hidden="false" customHeight="true" outlineLevel="0" collapsed="false">
      <c r="B759" s="33"/>
      <c r="C759" s="29"/>
    </row>
    <row r="760" customFormat="false" ht="18.75" hidden="false" customHeight="true" outlineLevel="0" collapsed="false">
      <c r="B760" s="33"/>
      <c r="C760" s="29"/>
    </row>
    <row r="761" customFormat="false" ht="18.75" hidden="false" customHeight="true" outlineLevel="0" collapsed="false">
      <c r="B761" s="33"/>
      <c r="C761" s="29"/>
    </row>
    <row r="762" customFormat="false" ht="18.75" hidden="false" customHeight="true" outlineLevel="0" collapsed="false">
      <c r="B762" s="33"/>
      <c r="C762" s="29"/>
    </row>
    <row r="763" customFormat="false" ht="18.75" hidden="false" customHeight="true" outlineLevel="0" collapsed="false">
      <c r="B763" s="33"/>
      <c r="C763" s="29"/>
    </row>
    <row r="764" customFormat="false" ht="18.75" hidden="false" customHeight="true" outlineLevel="0" collapsed="false">
      <c r="B764" s="33"/>
      <c r="C764" s="29"/>
    </row>
    <row r="765" customFormat="false" ht="18.75" hidden="false" customHeight="true" outlineLevel="0" collapsed="false">
      <c r="B765" s="33"/>
      <c r="C765" s="29"/>
    </row>
    <row r="766" customFormat="false" ht="18.75" hidden="false" customHeight="true" outlineLevel="0" collapsed="false">
      <c r="B766" s="33"/>
      <c r="C766" s="29"/>
    </row>
    <row r="767" customFormat="false" ht="18.75" hidden="false" customHeight="true" outlineLevel="0" collapsed="false">
      <c r="B767" s="33"/>
      <c r="C767" s="29"/>
    </row>
    <row r="768" customFormat="false" ht="18.75" hidden="false" customHeight="true" outlineLevel="0" collapsed="false">
      <c r="B768" s="33"/>
      <c r="C768" s="29"/>
    </row>
    <row r="769" customFormat="false" ht="18.75" hidden="false" customHeight="true" outlineLevel="0" collapsed="false">
      <c r="B769" s="33"/>
      <c r="C769" s="29"/>
    </row>
    <row r="770" customFormat="false" ht="18.75" hidden="false" customHeight="true" outlineLevel="0" collapsed="false">
      <c r="B770" s="33"/>
      <c r="C770" s="29"/>
    </row>
    <row r="771" customFormat="false" ht="18.75" hidden="false" customHeight="true" outlineLevel="0" collapsed="false">
      <c r="B771" s="33"/>
      <c r="C771" s="29"/>
    </row>
    <row r="772" customFormat="false" ht="18.75" hidden="false" customHeight="true" outlineLevel="0" collapsed="false">
      <c r="B772" s="33"/>
      <c r="C772" s="29"/>
    </row>
    <row r="773" customFormat="false" ht="18.75" hidden="false" customHeight="true" outlineLevel="0" collapsed="false">
      <c r="B773" s="33"/>
      <c r="C773" s="29"/>
    </row>
    <row r="774" customFormat="false" ht="18.75" hidden="false" customHeight="true" outlineLevel="0" collapsed="false">
      <c r="B774" s="33"/>
      <c r="C774" s="29"/>
    </row>
    <row r="775" customFormat="false" ht="18.75" hidden="false" customHeight="true" outlineLevel="0" collapsed="false">
      <c r="B775" s="33"/>
      <c r="C775" s="29"/>
    </row>
    <row r="776" customFormat="false" ht="18.75" hidden="false" customHeight="true" outlineLevel="0" collapsed="false">
      <c r="B776" s="33"/>
      <c r="C776" s="29"/>
    </row>
    <row r="777" customFormat="false" ht="18.75" hidden="false" customHeight="true" outlineLevel="0" collapsed="false">
      <c r="B777" s="33"/>
      <c r="C777" s="29"/>
    </row>
    <row r="778" customFormat="false" ht="18.75" hidden="false" customHeight="true" outlineLevel="0" collapsed="false">
      <c r="B778" s="33"/>
      <c r="C778" s="29"/>
    </row>
    <row r="779" customFormat="false" ht="18.75" hidden="false" customHeight="true" outlineLevel="0" collapsed="false">
      <c r="B779" s="33"/>
      <c r="C779" s="29"/>
    </row>
    <row r="780" customFormat="false" ht="18.75" hidden="false" customHeight="true" outlineLevel="0" collapsed="false">
      <c r="B780" s="33"/>
      <c r="C780" s="29"/>
    </row>
    <row r="781" customFormat="false" ht="18.75" hidden="false" customHeight="true" outlineLevel="0" collapsed="false">
      <c r="B781" s="33"/>
      <c r="C781" s="29"/>
    </row>
    <row r="782" customFormat="false" ht="18.75" hidden="false" customHeight="true" outlineLevel="0" collapsed="false">
      <c r="B782" s="33"/>
      <c r="C782" s="29"/>
    </row>
    <row r="783" customFormat="false" ht="18.75" hidden="false" customHeight="true" outlineLevel="0" collapsed="false">
      <c r="B783" s="33"/>
      <c r="C783" s="29"/>
    </row>
    <row r="784" customFormat="false" ht="18.75" hidden="false" customHeight="true" outlineLevel="0" collapsed="false">
      <c r="B784" s="33"/>
      <c r="C784" s="29"/>
    </row>
    <row r="785" customFormat="false" ht="18.75" hidden="false" customHeight="true" outlineLevel="0" collapsed="false">
      <c r="B785" s="33"/>
      <c r="C785" s="29"/>
    </row>
    <row r="786" customFormat="false" ht="18.75" hidden="false" customHeight="true" outlineLevel="0" collapsed="false">
      <c r="B786" s="33"/>
      <c r="C786" s="29"/>
    </row>
    <row r="787" customFormat="false" ht="18.75" hidden="false" customHeight="true" outlineLevel="0" collapsed="false">
      <c r="B787" s="33"/>
      <c r="C787" s="29"/>
    </row>
    <row r="788" customFormat="false" ht="18.75" hidden="false" customHeight="true" outlineLevel="0" collapsed="false">
      <c r="B788" s="33"/>
      <c r="C788" s="29"/>
    </row>
    <row r="789" customFormat="false" ht="18.75" hidden="false" customHeight="true" outlineLevel="0" collapsed="false">
      <c r="B789" s="33"/>
      <c r="C789" s="29"/>
    </row>
    <row r="790" customFormat="false" ht="18.75" hidden="false" customHeight="true" outlineLevel="0" collapsed="false">
      <c r="B790" s="33"/>
      <c r="C790" s="29"/>
    </row>
    <row r="791" customFormat="false" ht="18.75" hidden="false" customHeight="true" outlineLevel="0" collapsed="false">
      <c r="B791" s="33"/>
      <c r="C791" s="29"/>
    </row>
    <row r="792" customFormat="false" ht="18.75" hidden="false" customHeight="true" outlineLevel="0" collapsed="false">
      <c r="B792" s="33"/>
      <c r="C792" s="29"/>
    </row>
    <row r="793" customFormat="false" ht="18.75" hidden="false" customHeight="true" outlineLevel="0" collapsed="false">
      <c r="B793" s="33"/>
      <c r="C793" s="29"/>
    </row>
    <row r="794" customFormat="false" ht="18.75" hidden="false" customHeight="true" outlineLevel="0" collapsed="false">
      <c r="B794" s="33"/>
      <c r="C794" s="29"/>
    </row>
    <row r="795" customFormat="false" ht="18.75" hidden="false" customHeight="true" outlineLevel="0" collapsed="false">
      <c r="B795" s="33"/>
      <c r="C795" s="29"/>
    </row>
    <row r="796" customFormat="false" ht="18.75" hidden="false" customHeight="true" outlineLevel="0" collapsed="false">
      <c r="B796" s="33"/>
      <c r="C796" s="29"/>
    </row>
    <row r="797" customFormat="false" ht="18.75" hidden="false" customHeight="true" outlineLevel="0" collapsed="false">
      <c r="B797" s="33"/>
      <c r="C797" s="29"/>
    </row>
    <row r="798" customFormat="false" ht="18.75" hidden="false" customHeight="true" outlineLevel="0" collapsed="false">
      <c r="B798" s="33"/>
      <c r="C798" s="29"/>
    </row>
    <row r="799" customFormat="false" ht="18.75" hidden="false" customHeight="true" outlineLevel="0" collapsed="false">
      <c r="B799" s="33"/>
      <c r="C799" s="29"/>
    </row>
    <row r="800" customFormat="false" ht="18.75" hidden="false" customHeight="true" outlineLevel="0" collapsed="false">
      <c r="B800" s="33"/>
      <c r="C800" s="29"/>
    </row>
    <row r="801" customFormat="false" ht="18.75" hidden="false" customHeight="true" outlineLevel="0" collapsed="false">
      <c r="B801" s="33"/>
      <c r="C801" s="29"/>
    </row>
    <row r="802" customFormat="false" ht="18.75" hidden="false" customHeight="true" outlineLevel="0" collapsed="false">
      <c r="B802" s="33"/>
      <c r="C802" s="29"/>
    </row>
    <row r="803" customFormat="false" ht="18.75" hidden="false" customHeight="true" outlineLevel="0" collapsed="false">
      <c r="B803" s="33"/>
      <c r="C803" s="29"/>
    </row>
    <row r="804" customFormat="false" ht="18.75" hidden="false" customHeight="true" outlineLevel="0" collapsed="false">
      <c r="B804" s="33"/>
      <c r="C804" s="29"/>
    </row>
    <row r="805" customFormat="false" ht="18.75" hidden="false" customHeight="true" outlineLevel="0" collapsed="false">
      <c r="B805" s="33"/>
      <c r="C805" s="29"/>
    </row>
    <row r="806" customFormat="false" ht="18.75" hidden="false" customHeight="true" outlineLevel="0" collapsed="false">
      <c r="B806" s="33"/>
      <c r="C806" s="29"/>
    </row>
    <row r="807" customFormat="false" ht="18.75" hidden="false" customHeight="true" outlineLevel="0" collapsed="false">
      <c r="B807" s="33"/>
      <c r="C807" s="29"/>
    </row>
    <row r="808" customFormat="false" ht="18.75" hidden="false" customHeight="true" outlineLevel="0" collapsed="false">
      <c r="B808" s="33"/>
      <c r="C808" s="29"/>
    </row>
    <row r="809" customFormat="false" ht="18.75" hidden="false" customHeight="true" outlineLevel="0" collapsed="false">
      <c r="B809" s="33"/>
      <c r="C809" s="29"/>
    </row>
    <row r="810" customFormat="false" ht="18.75" hidden="false" customHeight="true" outlineLevel="0" collapsed="false">
      <c r="B810" s="33"/>
      <c r="C810" s="29"/>
    </row>
    <row r="811" customFormat="false" ht="18.75" hidden="false" customHeight="true" outlineLevel="0" collapsed="false">
      <c r="B811" s="33"/>
      <c r="C811" s="29"/>
    </row>
    <row r="812" customFormat="false" ht="18.75" hidden="false" customHeight="true" outlineLevel="0" collapsed="false">
      <c r="B812" s="33"/>
      <c r="C812" s="29"/>
    </row>
    <row r="813" customFormat="false" ht="18.75" hidden="false" customHeight="true" outlineLevel="0" collapsed="false">
      <c r="B813" s="33"/>
      <c r="C813" s="29"/>
    </row>
    <row r="814" customFormat="false" ht="18.75" hidden="false" customHeight="true" outlineLevel="0" collapsed="false">
      <c r="B814" s="33"/>
      <c r="C814" s="29"/>
    </row>
    <row r="815" customFormat="false" ht="18.75" hidden="false" customHeight="true" outlineLevel="0" collapsed="false">
      <c r="B815" s="33"/>
      <c r="C815" s="29"/>
    </row>
    <row r="816" customFormat="false" ht="18.75" hidden="false" customHeight="true" outlineLevel="0" collapsed="false">
      <c r="B816" s="33"/>
      <c r="C816" s="29"/>
    </row>
    <row r="817" customFormat="false" ht="18.75" hidden="false" customHeight="true" outlineLevel="0" collapsed="false">
      <c r="B817" s="33"/>
      <c r="C817" s="29"/>
    </row>
    <row r="818" customFormat="false" ht="18.75" hidden="false" customHeight="true" outlineLevel="0" collapsed="false">
      <c r="B818" s="33"/>
      <c r="C818" s="29"/>
    </row>
    <row r="819" customFormat="false" ht="18.75" hidden="false" customHeight="true" outlineLevel="0" collapsed="false">
      <c r="B819" s="33"/>
      <c r="C819" s="29"/>
    </row>
    <row r="820" customFormat="false" ht="18.75" hidden="false" customHeight="true" outlineLevel="0" collapsed="false">
      <c r="B820" s="33"/>
      <c r="C820" s="29"/>
    </row>
    <row r="821" customFormat="false" ht="18.75" hidden="false" customHeight="true" outlineLevel="0" collapsed="false">
      <c r="B821" s="33"/>
      <c r="C821" s="29"/>
    </row>
    <row r="822" customFormat="false" ht="18.75" hidden="false" customHeight="true" outlineLevel="0" collapsed="false">
      <c r="B822" s="33"/>
      <c r="C822" s="29"/>
    </row>
    <row r="823" customFormat="false" ht="18.75" hidden="false" customHeight="true" outlineLevel="0" collapsed="false">
      <c r="B823" s="33"/>
      <c r="C823" s="29"/>
    </row>
    <row r="824" customFormat="false" ht="18.75" hidden="false" customHeight="true" outlineLevel="0" collapsed="false">
      <c r="B824" s="33"/>
      <c r="C824" s="29"/>
    </row>
    <row r="825" customFormat="false" ht="18.75" hidden="false" customHeight="true" outlineLevel="0" collapsed="false">
      <c r="B825" s="33"/>
      <c r="C825" s="29"/>
    </row>
    <row r="826" customFormat="false" ht="18.75" hidden="false" customHeight="true" outlineLevel="0" collapsed="false">
      <c r="B826" s="33"/>
      <c r="C826" s="29"/>
    </row>
    <row r="827" customFormat="false" ht="18.75" hidden="false" customHeight="true" outlineLevel="0" collapsed="false">
      <c r="B827" s="33"/>
      <c r="C827" s="29"/>
    </row>
    <row r="828" customFormat="false" ht="18.75" hidden="false" customHeight="true" outlineLevel="0" collapsed="false">
      <c r="B828" s="33"/>
      <c r="C828" s="29"/>
    </row>
    <row r="829" customFormat="false" ht="18.75" hidden="false" customHeight="true" outlineLevel="0" collapsed="false">
      <c r="B829" s="33"/>
      <c r="C829" s="29"/>
    </row>
    <row r="830" customFormat="false" ht="18.75" hidden="false" customHeight="true" outlineLevel="0" collapsed="false">
      <c r="B830" s="33"/>
      <c r="C830" s="29"/>
    </row>
    <row r="831" customFormat="false" ht="18.75" hidden="false" customHeight="true" outlineLevel="0" collapsed="false">
      <c r="B831" s="33"/>
      <c r="C831" s="29"/>
    </row>
    <row r="832" customFormat="false" ht="18.75" hidden="false" customHeight="true" outlineLevel="0" collapsed="false">
      <c r="B832" s="33"/>
      <c r="C832" s="29"/>
    </row>
    <row r="833" customFormat="false" ht="18.75" hidden="false" customHeight="true" outlineLevel="0" collapsed="false">
      <c r="B833" s="33"/>
      <c r="C833" s="29"/>
    </row>
    <row r="834" customFormat="false" ht="18.75" hidden="false" customHeight="true" outlineLevel="0" collapsed="false">
      <c r="B834" s="33"/>
      <c r="C834" s="29"/>
    </row>
    <row r="835" customFormat="false" ht="18.75" hidden="false" customHeight="true" outlineLevel="0" collapsed="false">
      <c r="B835" s="33"/>
      <c r="C835" s="29"/>
    </row>
    <row r="836" customFormat="false" ht="18.75" hidden="false" customHeight="true" outlineLevel="0" collapsed="false">
      <c r="B836" s="33"/>
      <c r="C836" s="29"/>
    </row>
    <row r="837" customFormat="false" ht="18.75" hidden="false" customHeight="true" outlineLevel="0" collapsed="false">
      <c r="B837" s="33"/>
      <c r="C837" s="29"/>
    </row>
    <row r="838" customFormat="false" ht="18.75" hidden="false" customHeight="true" outlineLevel="0" collapsed="false">
      <c r="B838" s="33"/>
      <c r="C838" s="29"/>
    </row>
    <row r="839" customFormat="false" ht="18.75" hidden="false" customHeight="true" outlineLevel="0" collapsed="false">
      <c r="B839" s="33"/>
      <c r="C839" s="29"/>
    </row>
    <row r="840" customFormat="false" ht="18.75" hidden="false" customHeight="true" outlineLevel="0" collapsed="false">
      <c r="B840" s="33"/>
      <c r="C840" s="29"/>
    </row>
    <row r="841" customFormat="false" ht="18.75" hidden="false" customHeight="true" outlineLevel="0" collapsed="false">
      <c r="B841" s="33"/>
      <c r="C841" s="29"/>
    </row>
    <row r="842" customFormat="false" ht="18.75" hidden="false" customHeight="true" outlineLevel="0" collapsed="false">
      <c r="B842" s="33"/>
      <c r="C842" s="29"/>
    </row>
    <row r="843" customFormat="false" ht="18.75" hidden="false" customHeight="true" outlineLevel="0" collapsed="false">
      <c r="B843" s="33"/>
      <c r="C843" s="29"/>
    </row>
    <row r="844" customFormat="false" ht="18.75" hidden="false" customHeight="true" outlineLevel="0" collapsed="false">
      <c r="B844" s="33"/>
      <c r="C844" s="29"/>
    </row>
    <row r="845" customFormat="false" ht="18.75" hidden="false" customHeight="true" outlineLevel="0" collapsed="false">
      <c r="B845" s="33"/>
      <c r="C845" s="29"/>
    </row>
    <row r="846" customFormat="false" ht="18.75" hidden="false" customHeight="true" outlineLevel="0" collapsed="false">
      <c r="B846" s="33"/>
      <c r="C846" s="29"/>
    </row>
    <row r="847" customFormat="false" ht="18.75" hidden="false" customHeight="true" outlineLevel="0" collapsed="false">
      <c r="B847" s="33"/>
      <c r="C847" s="29"/>
    </row>
    <row r="848" customFormat="false" ht="18.75" hidden="false" customHeight="true" outlineLevel="0" collapsed="false">
      <c r="B848" s="33"/>
      <c r="C848" s="29"/>
    </row>
    <row r="849" customFormat="false" ht="18.75" hidden="false" customHeight="true" outlineLevel="0" collapsed="false">
      <c r="B849" s="33"/>
      <c r="C849" s="29"/>
    </row>
    <row r="850" customFormat="false" ht="18.75" hidden="false" customHeight="true" outlineLevel="0" collapsed="false">
      <c r="B850" s="33"/>
      <c r="C850" s="29"/>
    </row>
    <row r="851" customFormat="false" ht="18.75" hidden="false" customHeight="true" outlineLevel="0" collapsed="false">
      <c r="B851" s="33"/>
      <c r="C851" s="29"/>
    </row>
    <row r="852" customFormat="false" ht="18.75" hidden="false" customHeight="true" outlineLevel="0" collapsed="false">
      <c r="B852" s="33"/>
      <c r="C852" s="29"/>
    </row>
    <row r="853" customFormat="false" ht="18.75" hidden="false" customHeight="true" outlineLevel="0" collapsed="false">
      <c r="B853" s="33"/>
      <c r="C853" s="29"/>
    </row>
    <row r="854" customFormat="false" ht="18.75" hidden="false" customHeight="true" outlineLevel="0" collapsed="false">
      <c r="B854" s="33"/>
      <c r="C854" s="29"/>
    </row>
    <row r="855" customFormat="false" ht="18.75" hidden="false" customHeight="true" outlineLevel="0" collapsed="false">
      <c r="B855" s="33"/>
      <c r="C855" s="29"/>
    </row>
    <row r="856" customFormat="false" ht="18.75" hidden="false" customHeight="true" outlineLevel="0" collapsed="false">
      <c r="B856" s="33"/>
      <c r="C856" s="29"/>
    </row>
    <row r="857" customFormat="false" ht="18.75" hidden="false" customHeight="true" outlineLevel="0" collapsed="false">
      <c r="B857" s="33"/>
      <c r="C857" s="29"/>
    </row>
    <row r="858" customFormat="false" ht="18.75" hidden="false" customHeight="true" outlineLevel="0" collapsed="false">
      <c r="B858" s="33"/>
      <c r="C858" s="29"/>
    </row>
    <row r="859" customFormat="false" ht="18.75" hidden="false" customHeight="true" outlineLevel="0" collapsed="false">
      <c r="B859" s="33"/>
      <c r="C859" s="29"/>
    </row>
    <row r="860" customFormat="false" ht="18.75" hidden="false" customHeight="true" outlineLevel="0" collapsed="false">
      <c r="B860" s="33"/>
      <c r="C860" s="29"/>
    </row>
    <row r="861" customFormat="false" ht="18.75" hidden="false" customHeight="true" outlineLevel="0" collapsed="false">
      <c r="B861" s="33"/>
      <c r="C861" s="29"/>
    </row>
    <row r="862" customFormat="false" ht="18.75" hidden="false" customHeight="true" outlineLevel="0" collapsed="false">
      <c r="B862" s="33"/>
      <c r="C862" s="29"/>
    </row>
    <row r="863" customFormat="false" ht="18.75" hidden="false" customHeight="true" outlineLevel="0" collapsed="false">
      <c r="B863" s="33"/>
      <c r="C863" s="29"/>
    </row>
    <row r="864" customFormat="false" ht="18.75" hidden="false" customHeight="true" outlineLevel="0" collapsed="false">
      <c r="B864" s="33"/>
      <c r="C864" s="29"/>
    </row>
    <row r="865" customFormat="false" ht="18.75" hidden="false" customHeight="true" outlineLevel="0" collapsed="false">
      <c r="B865" s="33"/>
      <c r="C865" s="29"/>
    </row>
    <row r="866" customFormat="false" ht="18.75" hidden="false" customHeight="true" outlineLevel="0" collapsed="false">
      <c r="B866" s="33"/>
      <c r="C866" s="29"/>
    </row>
    <row r="867" customFormat="false" ht="18.75" hidden="false" customHeight="true" outlineLevel="0" collapsed="false">
      <c r="B867" s="33"/>
      <c r="C867" s="29"/>
    </row>
    <row r="868" customFormat="false" ht="18.75" hidden="false" customHeight="true" outlineLevel="0" collapsed="false">
      <c r="B868" s="33"/>
      <c r="C868" s="29"/>
    </row>
    <row r="869" customFormat="false" ht="18.75" hidden="false" customHeight="true" outlineLevel="0" collapsed="false">
      <c r="B869" s="33"/>
      <c r="C869" s="29"/>
    </row>
    <row r="870" customFormat="false" ht="18.75" hidden="false" customHeight="true" outlineLevel="0" collapsed="false">
      <c r="B870" s="33"/>
      <c r="C870" s="29"/>
    </row>
    <row r="871" customFormat="false" ht="18.75" hidden="false" customHeight="true" outlineLevel="0" collapsed="false">
      <c r="B871" s="33"/>
      <c r="C871" s="29"/>
    </row>
    <row r="872" customFormat="false" ht="18.75" hidden="false" customHeight="true" outlineLevel="0" collapsed="false">
      <c r="B872" s="33"/>
      <c r="C872" s="29"/>
    </row>
    <row r="873" customFormat="false" ht="18.75" hidden="false" customHeight="true" outlineLevel="0" collapsed="false">
      <c r="B873" s="33"/>
      <c r="C873" s="29"/>
    </row>
    <row r="874" customFormat="false" ht="18.75" hidden="false" customHeight="true" outlineLevel="0" collapsed="false">
      <c r="B874" s="33"/>
      <c r="C874" s="29"/>
    </row>
    <row r="875" customFormat="false" ht="18.75" hidden="false" customHeight="true" outlineLevel="0" collapsed="false">
      <c r="B875" s="33"/>
      <c r="C875" s="29"/>
    </row>
    <row r="876" customFormat="false" ht="18.75" hidden="false" customHeight="true" outlineLevel="0" collapsed="false">
      <c r="B876" s="33"/>
      <c r="C876" s="29"/>
    </row>
    <row r="877" customFormat="false" ht="18.75" hidden="false" customHeight="true" outlineLevel="0" collapsed="false">
      <c r="B877" s="33"/>
      <c r="C877" s="29"/>
    </row>
    <row r="878" customFormat="false" ht="18.75" hidden="false" customHeight="true" outlineLevel="0" collapsed="false">
      <c r="B878" s="33"/>
      <c r="C878" s="29"/>
    </row>
    <row r="879" customFormat="false" ht="18.75" hidden="false" customHeight="true" outlineLevel="0" collapsed="false">
      <c r="B879" s="33"/>
      <c r="C879" s="29"/>
    </row>
    <row r="880" customFormat="false" ht="18.75" hidden="false" customHeight="true" outlineLevel="0" collapsed="false">
      <c r="B880" s="33"/>
      <c r="C880" s="29"/>
    </row>
    <row r="881" customFormat="false" ht="18.75" hidden="false" customHeight="true" outlineLevel="0" collapsed="false">
      <c r="B881" s="33"/>
      <c r="C881" s="29"/>
    </row>
    <row r="882" customFormat="false" ht="18.75" hidden="false" customHeight="true" outlineLevel="0" collapsed="false">
      <c r="B882" s="33"/>
      <c r="C882" s="29"/>
    </row>
    <row r="883" customFormat="false" ht="18.75" hidden="false" customHeight="true" outlineLevel="0" collapsed="false">
      <c r="B883" s="33"/>
      <c r="C883" s="29"/>
    </row>
    <row r="884" customFormat="false" ht="18.75" hidden="false" customHeight="true" outlineLevel="0" collapsed="false">
      <c r="B884" s="33"/>
      <c r="C884" s="29"/>
    </row>
    <row r="885" customFormat="false" ht="18.75" hidden="false" customHeight="true" outlineLevel="0" collapsed="false">
      <c r="B885" s="33"/>
      <c r="C885" s="29"/>
    </row>
    <row r="886" customFormat="false" ht="18.75" hidden="false" customHeight="true" outlineLevel="0" collapsed="false">
      <c r="B886" s="33"/>
      <c r="C886" s="29"/>
    </row>
    <row r="887" customFormat="false" ht="18.75" hidden="false" customHeight="true" outlineLevel="0" collapsed="false">
      <c r="B887" s="33"/>
      <c r="C887" s="29"/>
    </row>
    <row r="888" customFormat="false" ht="18.75" hidden="false" customHeight="true" outlineLevel="0" collapsed="false">
      <c r="B888" s="33"/>
      <c r="C888" s="29"/>
    </row>
    <row r="889" customFormat="false" ht="18.75" hidden="false" customHeight="true" outlineLevel="0" collapsed="false">
      <c r="B889" s="33"/>
      <c r="C889" s="29"/>
    </row>
    <row r="890" customFormat="false" ht="18.75" hidden="false" customHeight="true" outlineLevel="0" collapsed="false">
      <c r="B890" s="33"/>
      <c r="C890" s="29"/>
    </row>
    <row r="891" customFormat="false" ht="18.75" hidden="false" customHeight="true" outlineLevel="0" collapsed="false">
      <c r="B891" s="33"/>
      <c r="C891" s="29"/>
    </row>
    <row r="892" customFormat="false" ht="18.75" hidden="false" customHeight="true" outlineLevel="0" collapsed="false">
      <c r="B892" s="33"/>
      <c r="C892" s="29"/>
    </row>
    <row r="893" customFormat="false" ht="18.75" hidden="false" customHeight="true" outlineLevel="0" collapsed="false">
      <c r="B893" s="33"/>
      <c r="C893" s="29"/>
    </row>
    <row r="894" customFormat="false" ht="18.75" hidden="false" customHeight="true" outlineLevel="0" collapsed="false">
      <c r="B894" s="33"/>
      <c r="C894" s="29"/>
    </row>
    <row r="895" customFormat="false" ht="18.75" hidden="false" customHeight="true" outlineLevel="0" collapsed="false">
      <c r="B895" s="33"/>
      <c r="C895" s="29"/>
    </row>
    <row r="896" customFormat="false" ht="18.75" hidden="false" customHeight="true" outlineLevel="0" collapsed="false">
      <c r="B896" s="33"/>
      <c r="C896" s="29"/>
    </row>
    <row r="897" customFormat="false" ht="18.75" hidden="false" customHeight="true" outlineLevel="0" collapsed="false">
      <c r="B897" s="33"/>
      <c r="C897" s="29"/>
    </row>
    <row r="898" customFormat="false" ht="18.75" hidden="false" customHeight="true" outlineLevel="0" collapsed="false">
      <c r="B898" s="33"/>
      <c r="C898" s="29"/>
    </row>
    <row r="899" customFormat="false" ht="18.75" hidden="false" customHeight="true" outlineLevel="0" collapsed="false">
      <c r="B899" s="33"/>
      <c r="C899" s="29"/>
    </row>
    <row r="900" customFormat="false" ht="18.75" hidden="false" customHeight="true" outlineLevel="0" collapsed="false">
      <c r="B900" s="33"/>
      <c r="C900" s="29"/>
    </row>
    <row r="901" customFormat="false" ht="18.75" hidden="false" customHeight="true" outlineLevel="0" collapsed="false">
      <c r="B901" s="33"/>
      <c r="C901" s="29"/>
    </row>
    <row r="902" customFormat="false" ht="18.75" hidden="false" customHeight="true" outlineLevel="0" collapsed="false">
      <c r="B902" s="33"/>
      <c r="C902" s="29"/>
    </row>
    <row r="903" customFormat="false" ht="18.75" hidden="false" customHeight="true" outlineLevel="0" collapsed="false">
      <c r="B903" s="33"/>
      <c r="C903" s="29"/>
    </row>
    <row r="904" customFormat="false" ht="18.75" hidden="false" customHeight="true" outlineLevel="0" collapsed="false">
      <c r="B904" s="33"/>
      <c r="C904" s="29"/>
    </row>
    <row r="905" customFormat="false" ht="18.75" hidden="false" customHeight="true" outlineLevel="0" collapsed="false">
      <c r="B905" s="33"/>
      <c r="C905" s="29"/>
    </row>
    <row r="906" customFormat="false" ht="18.75" hidden="false" customHeight="true" outlineLevel="0" collapsed="false">
      <c r="B906" s="33"/>
      <c r="C906" s="29"/>
    </row>
    <row r="907" customFormat="false" ht="18.75" hidden="false" customHeight="true" outlineLevel="0" collapsed="false">
      <c r="B907" s="33"/>
      <c r="C907" s="29"/>
    </row>
    <row r="908" customFormat="false" ht="18.75" hidden="false" customHeight="true" outlineLevel="0" collapsed="false">
      <c r="B908" s="33"/>
      <c r="C908" s="29"/>
    </row>
    <row r="909" customFormat="false" ht="18.75" hidden="false" customHeight="true" outlineLevel="0" collapsed="false">
      <c r="B909" s="33"/>
      <c r="C909" s="29"/>
    </row>
    <row r="910" customFormat="false" ht="18.75" hidden="false" customHeight="true" outlineLevel="0" collapsed="false">
      <c r="B910" s="33"/>
      <c r="C910" s="29"/>
    </row>
    <row r="911" customFormat="false" ht="18.75" hidden="false" customHeight="true" outlineLevel="0" collapsed="false">
      <c r="B911" s="33"/>
      <c r="C911" s="29"/>
    </row>
    <row r="912" customFormat="false" ht="18.75" hidden="false" customHeight="true" outlineLevel="0" collapsed="false">
      <c r="B912" s="33"/>
      <c r="C912" s="29"/>
    </row>
    <row r="913" customFormat="false" ht="18.75" hidden="false" customHeight="true" outlineLevel="0" collapsed="false">
      <c r="B913" s="33"/>
      <c r="C913" s="29"/>
    </row>
    <row r="914" customFormat="false" ht="18.75" hidden="false" customHeight="true" outlineLevel="0" collapsed="false">
      <c r="B914" s="33"/>
      <c r="C914" s="29"/>
    </row>
    <row r="915" customFormat="false" ht="18.75" hidden="false" customHeight="true" outlineLevel="0" collapsed="false">
      <c r="B915" s="33"/>
      <c r="C915" s="29"/>
    </row>
    <row r="916" customFormat="false" ht="18.75" hidden="false" customHeight="true" outlineLevel="0" collapsed="false">
      <c r="B916" s="33"/>
      <c r="C916" s="29"/>
    </row>
    <row r="917" customFormat="false" ht="18.75" hidden="false" customHeight="true" outlineLevel="0" collapsed="false">
      <c r="B917" s="33"/>
      <c r="C917" s="29"/>
    </row>
    <row r="918" customFormat="false" ht="18.75" hidden="false" customHeight="true" outlineLevel="0" collapsed="false">
      <c r="B918" s="33"/>
      <c r="C918" s="29"/>
    </row>
    <row r="919" customFormat="false" ht="18.75" hidden="false" customHeight="true" outlineLevel="0" collapsed="false">
      <c r="B919" s="33"/>
      <c r="C919" s="29"/>
    </row>
    <row r="920" customFormat="false" ht="18.75" hidden="false" customHeight="true" outlineLevel="0" collapsed="false">
      <c r="B920" s="33"/>
      <c r="C920" s="29"/>
    </row>
    <row r="921" customFormat="false" ht="18.75" hidden="false" customHeight="true" outlineLevel="0" collapsed="false">
      <c r="B921" s="33"/>
      <c r="C921" s="29"/>
    </row>
    <row r="922" customFormat="false" ht="18.75" hidden="false" customHeight="true" outlineLevel="0" collapsed="false">
      <c r="B922" s="33"/>
      <c r="C922" s="29"/>
    </row>
    <row r="923" customFormat="false" ht="18.75" hidden="false" customHeight="true" outlineLevel="0" collapsed="false">
      <c r="B923" s="33"/>
      <c r="C923" s="29"/>
    </row>
    <row r="924" customFormat="false" ht="18.75" hidden="false" customHeight="true" outlineLevel="0" collapsed="false">
      <c r="B924" s="33"/>
      <c r="C924" s="29"/>
    </row>
    <row r="925" customFormat="false" ht="18.75" hidden="false" customHeight="true" outlineLevel="0" collapsed="false">
      <c r="B925" s="33"/>
      <c r="C925" s="29"/>
    </row>
    <row r="926" customFormat="false" ht="18.75" hidden="false" customHeight="true" outlineLevel="0" collapsed="false">
      <c r="B926" s="33"/>
      <c r="C926" s="29"/>
    </row>
    <row r="927" customFormat="false" ht="18.75" hidden="false" customHeight="true" outlineLevel="0" collapsed="false">
      <c r="B927" s="33"/>
      <c r="C927" s="29"/>
    </row>
    <row r="928" customFormat="false" ht="18.75" hidden="false" customHeight="true" outlineLevel="0" collapsed="false">
      <c r="B928" s="33"/>
      <c r="C928" s="29"/>
    </row>
    <row r="929" customFormat="false" ht="18.75" hidden="false" customHeight="true" outlineLevel="0" collapsed="false">
      <c r="B929" s="33"/>
      <c r="C929" s="29"/>
    </row>
    <row r="930" customFormat="false" ht="18.75" hidden="false" customHeight="true" outlineLevel="0" collapsed="false">
      <c r="B930" s="33"/>
      <c r="C930" s="29"/>
    </row>
    <row r="931" customFormat="false" ht="18.75" hidden="false" customHeight="true" outlineLevel="0" collapsed="false">
      <c r="B931" s="33"/>
      <c r="C931" s="29"/>
    </row>
    <row r="932" customFormat="false" ht="18.75" hidden="false" customHeight="true" outlineLevel="0" collapsed="false">
      <c r="B932" s="33"/>
      <c r="C932" s="29"/>
    </row>
    <row r="933" customFormat="false" ht="18.75" hidden="false" customHeight="true" outlineLevel="0" collapsed="false">
      <c r="B933" s="33"/>
      <c r="C933" s="29"/>
    </row>
    <row r="934" customFormat="false" ht="18.75" hidden="false" customHeight="true" outlineLevel="0" collapsed="false">
      <c r="B934" s="33"/>
      <c r="C934" s="29"/>
    </row>
    <row r="935" customFormat="false" ht="18.75" hidden="false" customHeight="true" outlineLevel="0" collapsed="false">
      <c r="B935" s="33"/>
      <c r="C935" s="29"/>
    </row>
    <row r="936" customFormat="false" ht="18.75" hidden="false" customHeight="true" outlineLevel="0" collapsed="false">
      <c r="B936" s="33"/>
      <c r="C936" s="29"/>
    </row>
    <row r="937" customFormat="false" ht="18.75" hidden="false" customHeight="true" outlineLevel="0" collapsed="false">
      <c r="B937" s="33"/>
      <c r="C937" s="29"/>
    </row>
    <row r="938" customFormat="false" ht="18.75" hidden="false" customHeight="true" outlineLevel="0" collapsed="false">
      <c r="B938" s="33"/>
      <c r="C938" s="29"/>
    </row>
    <row r="939" customFormat="false" ht="18.75" hidden="false" customHeight="true" outlineLevel="0" collapsed="false">
      <c r="B939" s="33"/>
      <c r="C939" s="29"/>
    </row>
    <row r="940" customFormat="false" ht="18.75" hidden="false" customHeight="true" outlineLevel="0" collapsed="false">
      <c r="B940" s="33"/>
      <c r="C940" s="29"/>
    </row>
    <row r="941" customFormat="false" ht="18.75" hidden="false" customHeight="true" outlineLevel="0" collapsed="false">
      <c r="B941" s="33"/>
      <c r="C941" s="29"/>
    </row>
    <row r="942" customFormat="false" ht="18.75" hidden="false" customHeight="true" outlineLevel="0" collapsed="false">
      <c r="B942" s="33"/>
      <c r="C942" s="29"/>
    </row>
    <row r="943" customFormat="false" ht="18.75" hidden="false" customHeight="true" outlineLevel="0" collapsed="false">
      <c r="B943" s="33"/>
      <c r="C943" s="29"/>
    </row>
    <row r="944" customFormat="false" ht="18.75" hidden="false" customHeight="true" outlineLevel="0" collapsed="false">
      <c r="B944" s="33"/>
      <c r="C944" s="29"/>
    </row>
    <row r="945" customFormat="false" ht="18.75" hidden="false" customHeight="true" outlineLevel="0" collapsed="false">
      <c r="B945" s="33"/>
      <c r="C945" s="29"/>
    </row>
    <row r="946" customFormat="false" ht="18.75" hidden="false" customHeight="true" outlineLevel="0" collapsed="false">
      <c r="B946" s="33"/>
      <c r="C946" s="29"/>
    </row>
    <row r="947" customFormat="false" ht="18.75" hidden="false" customHeight="true" outlineLevel="0" collapsed="false">
      <c r="B947" s="33"/>
      <c r="C947" s="29"/>
    </row>
    <row r="948" customFormat="false" ht="18.75" hidden="false" customHeight="true" outlineLevel="0" collapsed="false">
      <c r="B948" s="33"/>
      <c r="C948" s="29"/>
    </row>
    <row r="949" customFormat="false" ht="18.75" hidden="false" customHeight="true" outlineLevel="0" collapsed="false">
      <c r="B949" s="33"/>
      <c r="C949" s="29"/>
    </row>
    <row r="950" customFormat="false" ht="18.75" hidden="false" customHeight="true" outlineLevel="0" collapsed="false">
      <c r="B950" s="33"/>
      <c r="C950" s="29"/>
    </row>
    <row r="951" customFormat="false" ht="18.75" hidden="false" customHeight="true" outlineLevel="0" collapsed="false">
      <c r="B951" s="33"/>
      <c r="C951" s="29"/>
    </row>
    <row r="952" customFormat="false" ht="18.75" hidden="false" customHeight="true" outlineLevel="0" collapsed="false">
      <c r="B952" s="33"/>
      <c r="C952" s="29"/>
    </row>
    <row r="953" customFormat="false" ht="18.75" hidden="false" customHeight="true" outlineLevel="0" collapsed="false">
      <c r="B953" s="33"/>
      <c r="C953" s="29"/>
    </row>
    <row r="954" customFormat="false" ht="18.75" hidden="false" customHeight="true" outlineLevel="0" collapsed="false">
      <c r="B954" s="33"/>
      <c r="C954" s="29"/>
    </row>
    <row r="955" customFormat="false" ht="18.75" hidden="false" customHeight="true" outlineLevel="0" collapsed="false">
      <c r="B955" s="33"/>
      <c r="C955" s="29"/>
    </row>
    <row r="956" customFormat="false" ht="18.75" hidden="false" customHeight="true" outlineLevel="0" collapsed="false">
      <c r="B956" s="33"/>
      <c r="C956" s="29"/>
    </row>
    <row r="957" customFormat="false" ht="18.75" hidden="false" customHeight="true" outlineLevel="0" collapsed="false">
      <c r="B957" s="33"/>
      <c r="C957" s="29"/>
    </row>
    <row r="958" customFormat="false" ht="18.75" hidden="false" customHeight="true" outlineLevel="0" collapsed="false">
      <c r="B958" s="33"/>
      <c r="C958" s="29"/>
    </row>
    <row r="959" customFormat="false" ht="18.75" hidden="false" customHeight="true" outlineLevel="0" collapsed="false">
      <c r="B959" s="33"/>
      <c r="C959" s="29"/>
    </row>
    <row r="960" customFormat="false" ht="18.75" hidden="false" customHeight="true" outlineLevel="0" collapsed="false">
      <c r="B960" s="33"/>
      <c r="C960" s="29"/>
    </row>
    <row r="961" customFormat="false" ht="18.75" hidden="false" customHeight="true" outlineLevel="0" collapsed="false">
      <c r="B961" s="33"/>
      <c r="C961" s="29"/>
    </row>
    <row r="962" customFormat="false" ht="18.75" hidden="false" customHeight="true" outlineLevel="0" collapsed="false">
      <c r="B962" s="33"/>
      <c r="C962" s="29"/>
    </row>
    <row r="963" customFormat="false" ht="18.75" hidden="false" customHeight="true" outlineLevel="0" collapsed="false">
      <c r="B963" s="33"/>
      <c r="C963" s="29"/>
    </row>
    <row r="964" customFormat="false" ht="18.75" hidden="false" customHeight="true" outlineLevel="0" collapsed="false">
      <c r="B964" s="33"/>
      <c r="C964" s="29"/>
    </row>
    <row r="965" customFormat="false" ht="18.75" hidden="false" customHeight="true" outlineLevel="0" collapsed="false">
      <c r="B965" s="33"/>
      <c r="C965" s="29"/>
    </row>
    <row r="966" customFormat="false" ht="18.75" hidden="false" customHeight="true" outlineLevel="0" collapsed="false">
      <c r="B966" s="33"/>
      <c r="C966" s="29"/>
    </row>
    <row r="967" customFormat="false" ht="18.75" hidden="false" customHeight="true" outlineLevel="0" collapsed="false">
      <c r="B967" s="33"/>
      <c r="C967" s="29"/>
    </row>
    <row r="968" customFormat="false" ht="18.75" hidden="false" customHeight="true" outlineLevel="0" collapsed="false">
      <c r="B968" s="33"/>
      <c r="C968" s="29"/>
    </row>
    <row r="969" customFormat="false" ht="18.75" hidden="false" customHeight="true" outlineLevel="0" collapsed="false">
      <c r="B969" s="33"/>
      <c r="C969" s="29"/>
    </row>
    <row r="970" customFormat="false" ht="18.75" hidden="false" customHeight="true" outlineLevel="0" collapsed="false">
      <c r="B970" s="33"/>
      <c r="C970" s="29"/>
    </row>
    <row r="971" customFormat="false" ht="18.75" hidden="false" customHeight="true" outlineLevel="0" collapsed="false">
      <c r="B971" s="33"/>
      <c r="C971" s="29"/>
    </row>
    <row r="972" customFormat="false" ht="18.75" hidden="false" customHeight="true" outlineLevel="0" collapsed="false">
      <c r="B972" s="33"/>
      <c r="C972" s="29"/>
    </row>
    <row r="973" customFormat="false" ht="18.75" hidden="false" customHeight="true" outlineLevel="0" collapsed="false">
      <c r="B973" s="33"/>
      <c r="C973" s="29"/>
    </row>
    <row r="974" customFormat="false" ht="18.75" hidden="false" customHeight="true" outlineLevel="0" collapsed="false">
      <c r="B974" s="33"/>
      <c r="C974" s="29"/>
    </row>
    <row r="975" customFormat="false" ht="18.75" hidden="false" customHeight="true" outlineLevel="0" collapsed="false">
      <c r="B975" s="33"/>
      <c r="C975" s="29"/>
    </row>
    <row r="976" customFormat="false" ht="18.75" hidden="false" customHeight="true" outlineLevel="0" collapsed="false">
      <c r="B976" s="33"/>
      <c r="C976" s="29"/>
    </row>
    <row r="977" customFormat="false" ht="18.75" hidden="false" customHeight="true" outlineLevel="0" collapsed="false">
      <c r="B977" s="33"/>
      <c r="C977" s="29"/>
    </row>
    <row r="978" customFormat="false" ht="18.75" hidden="false" customHeight="true" outlineLevel="0" collapsed="false">
      <c r="B978" s="33"/>
      <c r="C978" s="29"/>
    </row>
    <row r="979" customFormat="false" ht="18.75" hidden="false" customHeight="true" outlineLevel="0" collapsed="false">
      <c r="B979" s="33"/>
      <c r="C979" s="29"/>
    </row>
    <row r="980" customFormat="false" ht="18.75" hidden="false" customHeight="true" outlineLevel="0" collapsed="false">
      <c r="B980" s="33"/>
      <c r="C980" s="29"/>
    </row>
    <row r="981" customFormat="false" ht="18.75" hidden="false" customHeight="true" outlineLevel="0" collapsed="false">
      <c r="B981" s="33"/>
      <c r="C981" s="29"/>
    </row>
    <row r="982" customFormat="false" ht="18.75" hidden="false" customHeight="true" outlineLevel="0" collapsed="false">
      <c r="B982" s="33"/>
      <c r="C982" s="29"/>
    </row>
    <row r="983" customFormat="false" ht="18.75" hidden="false" customHeight="true" outlineLevel="0" collapsed="false">
      <c r="B983" s="33"/>
      <c r="C983" s="29"/>
    </row>
    <row r="984" customFormat="false" ht="18.75" hidden="false" customHeight="true" outlineLevel="0" collapsed="false">
      <c r="B984" s="33"/>
      <c r="C984" s="29"/>
    </row>
    <row r="985" customFormat="false" ht="18.75" hidden="false" customHeight="true" outlineLevel="0" collapsed="false">
      <c r="B985" s="33"/>
      <c r="C985" s="29"/>
    </row>
    <row r="986" customFormat="false" ht="18.75" hidden="false" customHeight="true" outlineLevel="0" collapsed="false">
      <c r="B986" s="33"/>
      <c r="C986" s="29"/>
    </row>
    <row r="987" customFormat="false" ht="18.75" hidden="false" customHeight="true" outlineLevel="0" collapsed="false">
      <c r="B987" s="33"/>
      <c r="C987" s="29"/>
    </row>
    <row r="988" customFormat="false" ht="18.75" hidden="false" customHeight="true" outlineLevel="0" collapsed="false">
      <c r="B988" s="33"/>
      <c r="C988" s="29"/>
    </row>
    <row r="989" customFormat="false" ht="18.75" hidden="false" customHeight="true" outlineLevel="0" collapsed="false">
      <c r="B989" s="33"/>
      <c r="C989" s="29"/>
    </row>
    <row r="990" customFormat="false" ht="18.75" hidden="false" customHeight="true" outlineLevel="0" collapsed="false">
      <c r="B990" s="33"/>
      <c r="C990" s="29"/>
    </row>
    <row r="991" customFormat="false" ht="18.75" hidden="false" customHeight="true" outlineLevel="0" collapsed="false">
      <c r="B991" s="33"/>
      <c r="C991" s="29"/>
    </row>
    <row r="992" customFormat="false" ht="18.75" hidden="false" customHeight="true" outlineLevel="0" collapsed="false">
      <c r="B992" s="33"/>
      <c r="C992" s="29"/>
    </row>
    <row r="993" customFormat="false" ht="18.75" hidden="false" customHeight="true" outlineLevel="0" collapsed="false">
      <c r="B993" s="33"/>
      <c r="C993" s="29"/>
    </row>
    <row r="994" customFormat="false" ht="18.75" hidden="false" customHeight="true" outlineLevel="0" collapsed="false">
      <c r="B994" s="33"/>
      <c r="C994" s="29"/>
    </row>
    <row r="995" customFormat="false" ht="18.75" hidden="false" customHeight="true" outlineLevel="0" collapsed="false">
      <c r="B995" s="33"/>
      <c r="C995" s="29"/>
    </row>
    <row r="996" customFormat="false" ht="18.75" hidden="false" customHeight="true" outlineLevel="0" collapsed="false">
      <c r="B996" s="33"/>
      <c r="C996" s="29"/>
    </row>
    <row r="997" customFormat="false" ht="18.75" hidden="false" customHeight="true" outlineLevel="0" collapsed="false">
      <c r="B997" s="33"/>
      <c r="C997" s="29"/>
    </row>
    <row r="998" customFormat="false" ht="18.75" hidden="false" customHeight="true" outlineLevel="0" collapsed="false">
      <c r="B998" s="33"/>
      <c r="C998" s="29"/>
    </row>
    <row r="999" customFormat="false" ht="18.75" hidden="false" customHeight="true" outlineLevel="0" collapsed="false">
      <c r="B999" s="33"/>
      <c r="C999" s="29"/>
    </row>
    <row r="1000" customFormat="false" ht="18.75" hidden="false" customHeight="true" outlineLevel="0" collapsed="false">
      <c r="B1000" s="33"/>
      <c r="C1000" s="29"/>
    </row>
  </sheetData>
  <mergeCells count="11">
    <mergeCell ref="A1:F1"/>
    <mergeCell ref="A2:B2"/>
    <mergeCell ref="D2:E2"/>
    <mergeCell ref="A3:B3"/>
    <mergeCell ref="D3:F3"/>
    <mergeCell ref="A5:A14"/>
    <mergeCell ref="A15:A16"/>
    <mergeCell ref="A17:A22"/>
    <mergeCell ref="A23:A28"/>
    <mergeCell ref="A29:A34"/>
    <mergeCell ref="A35:A42"/>
  </mergeCells>
  <dataValidations count="2">
    <dataValidation allowBlank="true" errorStyle="stop" operator="between" showDropDown="false" showErrorMessage="true" showInputMessage="false" sqref="D6 D8 D10:D12 D14 D16 D18:D22 D24:D28 D30:D34 D36:D39 D41:D42" type="list">
      <formula1>"Sim,Parcialmente,Não,NA"</formula1>
      <formula2>0</formula2>
    </dataValidation>
    <dataValidation allowBlank="true" errorStyle="stop" operator="between" showDropDown="false" showErrorMessage="true" showInputMessage="false" sqref="D15 D17 D23 D29 D35 D40" type="list">
      <formula1>"Sim,Não,NA"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0" width="21.14"/>
    <col collapsed="false" customWidth="true" hidden="false" outlineLevel="0" max="2" min="2" style="0" width="5.29"/>
    <col collapsed="false" customWidth="true" hidden="false" outlineLevel="0" max="3" min="3" style="0" width="71.29"/>
    <col collapsed="false" customWidth="true" hidden="false" outlineLevel="0" max="4" min="4" style="0" width="12.71"/>
    <col collapsed="false" customWidth="true" hidden="false" outlineLevel="0" max="5" min="5" style="0" width="29.71"/>
    <col collapsed="false" customWidth="true" hidden="false" outlineLevel="0" max="6" min="6" style="0" width="32.71"/>
    <col collapsed="false" customWidth="true" hidden="true" outlineLevel="0" max="10" min="7" style="0" width="8.71"/>
    <col collapsed="false" customWidth="true" hidden="false" outlineLevel="0" max="26" min="11" style="0" width="8.71"/>
  </cols>
  <sheetData>
    <row r="1" customFormat="false" ht="19.5" hidden="false" customHeight="true" outlineLevel="0" collapsed="false">
      <c r="A1" s="9" t="s">
        <v>29</v>
      </c>
      <c r="B1" s="9"/>
      <c r="C1" s="9"/>
      <c r="D1" s="9"/>
      <c r="E1" s="9"/>
      <c r="F1" s="9"/>
    </row>
    <row r="2" customFormat="false" ht="18.75" hidden="false" customHeight="true" outlineLevel="0" collapsed="false">
      <c r="A2" s="10" t="s">
        <v>30</v>
      </c>
      <c r="B2" s="10"/>
      <c r="C2" s="34"/>
      <c r="D2" s="12" t="s">
        <v>31</v>
      </c>
      <c r="E2" s="12"/>
      <c r="F2" s="13" t="e">
        <f aca="false">COUNTIF(D5:D43,"Sim")/(COUNTA(D5:D43)-COUNTIF(D5:D43,"NA"))</f>
        <v>#DIV/0!</v>
      </c>
    </row>
    <row r="3" customFormat="false" ht="18.75" hidden="false" customHeight="true" outlineLevel="0" collapsed="false">
      <c r="A3" s="10" t="s">
        <v>32</v>
      </c>
      <c r="B3" s="10"/>
      <c r="C3" s="35"/>
      <c r="D3" s="36" t="s">
        <v>34</v>
      </c>
      <c r="E3" s="36"/>
      <c r="F3" s="36"/>
    </row>
    <row r="4" customFormat="false" ht="18.75" hidden="false" customHeight="true" outlineLevel="0" collapsed="false">
      <c r="A4" s="16" t="s">
        <v>35</v>
      </c>
      <c r="B4" s="16" t="s">
        <v>36</v>
      </c>
      <c r="C4" s="16" t="s">
        <v>37</v>
      </c>
      <c r="D4" s="37" t="s">
        <v>38</v>
      </c>
      <c r="E4" s="16" t="s">
        <v>39</v>
      </c>
      <c r="F4" s="16" t="s">
        <v>40</v>
      </c>
    </row>
    <row r="5" customFormat="false" ht="15" hidden="false" customHeight="true" outlineLevel="0" collapsed="false">
      <c r="A5" s="26" t="s">
        <v>45</v>
      </c>
      <c r="B5" s="20"/>
      <c r="C5" s="21" t="s">
        <v>13</v>
      </c>
      <c r="D5" s="22"/>
      <c r="E5" s="22"/>
      <c r="F5" s="22"/>
    </row>
    <row r="6" customFormat="false" ht="18.75" hidden="false" customHeight="true" outlineLevel="0" collapsed="false">
      <c r="A6" s="26"/>
      <c r="B6" s="23" t="n">
        <v>1</v>
      </c>
      <c r="C6" s="24" t="s">
        <v>75</v>
      </c>
      <c r="D6" s="38"/>
      <c r="E6" s="24"/>
      <c r="F6" s="24"/>
      <c r="G6" s="6" t="n">
        <f aca="false">COUNTIF(D6,"Sim")</f>
        <v>0</v>
      </c>
      <c r="H6" s="6" t="n">
        <f aca="false">COUNTIF(D6,"Parcialmente")</f>
        <v>0</v>
      </c>
      <c r="I6" s="6" t="n">
        <f aca="false">COUNTIF(D6,"Não")</f>
        <v>0</v>
      </c>
      <c r="J6" s="6" t="n">
        <f aca="false">COUNTIF(D6,"NA")</f>
        <v>0</v>
      </c>
    </row>
    <row r="7" customFormat="false" ht="18.75" hidden="false" customHeight="true" outlineLevel="0" collapsed="false">
      <c r="A7" s="26"/>
      <c r="B7" s="20"/>
      <c r="C7" s="21" t="s">
        <v>14</v>
      </c>
      <c r="D7" s="22"/>
      <c r="E7" s="22"/>
      <c r="F7" s="22"/>
    </row>
    <row r="8" customFormat="false" ht="18.75" hidden="false" customHeight="true" outlineLevel="0" collapsed="false">
      <c r="A8" s="26"/>
      <c r="B8" s="23" t="n">
        <v>2</v>
      </c>
      <c r="C8" s="24" t="s">
        <v>76</v>
      </c>
      <c r="D8" s="38"/>
      <c r="E8" s="24"/>
      <c r="F8" s="24"/>
      <c r="G8" s="6" t="n">
        <f aca="false">COUNTIF(D8,"Sim")</f>
        <v>0</v>
      </c>
      <c r="H8" s="6" t="n">
        <f aca="false">COUNTIF(D8,"Parcialmente")</f>
        <v>0</v>
      </c>
      <c r="I8" s="6" t="n">
        <f aca="false">COUNTIF(D8,"Não")</f>
        <v>0</v>
      </c>
      <c r="J8" s="6" t="n">
        <f aca="false">COUNTIF(D8,"NA")</f>
        <v>0</v>
      </c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 customFormat="false" ht="18.75" hidden="false" customHeight="true" outlineLevel="0" collapsed="false">
      <c r="A9" s="26"/>
      <c r="B9" s="20"/>
      <c r="C9" s="21" t="s">
        <v>15</v>
      </c>
      <c r="D9" s="22"/>
      <c r="E9" s="22"/>
      <c r="F9" s="22"/>
    </row>
    <row r="10" customFormat="false" ht="18.75" hidden="false" customHeight="true" outlineLevel="0" collapsed="false">
      <c r="A10" s="26"/>
      <c r="B10" s="23" t="n">
        <v>3</v>
      </c>
      <c r="C10" s="24" t="s">
        <v>78</v>
      </c>
      <c r="D10" s="38"/>
      <c r="E10" s="24"/>
      <c r="F10" s="24"/>
      <c r="G10" s="6" t="n">
        <f aca="false">COUNTIF(D10:D12,"Sim")</f>
        <v>0</v>
      </c>
      <c r="H10" s="6" t="n">
        <f aca="false">COUNTIF(D10:D12,"Parcialmente")</f>
        <v>0</v>
      </c>
      <c r="I10" s="6" t="n">
        <f aca="false">COUNTIF(D10:D12,"Não")</f>
        <v>0</v>
      </c>
      <c r="J10" s="6" t="n">
        <f aca="false">COUNTIF(D10:D12,"NA")</f>
        <v>0</v>
      </c>
    </row>
    <row r="11" customFormat="false" ht="18.75" hidden="false" customHeight="true" outlineLevel="0" collapsed="false">
      <c r="A11" s="26"/>
      <c r="B11" s="23" t="n">
        <v>4</v>
      </c>
      <c r="C11" s="24" t="s">
        <v>102</v>
      </c>
      <c r="D11" s="38"/>
      <c r="E11" s="24"/>
      <c r="F11" s="24"/>
    </row>
    <row r="12" customFormat="false" ht="29.25" hidden="false" customHeight="true" outlineLevel="0" collapsed="false">
      <c r="A12" s="26"/>
      <c r="B12" s="23" t="n">
        <v>5</v>
      </c>
      <c r="C12" s="24" t="s">
        <v>80</v>
      </c>
      <c r="D12" s="38"/>
      <c r="E12" s="24"/>
      <c r="F12" s="24"/>
    </row>
    <row r="13" customFormat="false" ht="18.75" hidden="false" customHeight="true" outlineLevel="0" collapsed="false">
      <c r="A13" s="26"/>
      <c r="B13" s="20"/>
      <c r="C13" s="21" t="s">
        <v>16</v>
      </c>
      <c r="D13" s="22"/>
      <c r="E13" s="22"/>
      <c r="F13" s="22"/>
    </row>
    <row r="14" customFormat="false" ht="18.75" hidden="false" customHeight="true" outlineLevel="0" collapsed="false">
      <c r="A14" s="26"/>
      <c r="B14" s="23" t="n">
        <v>6</v>
      </c>
      <c r="C14" s="24" t="s">
        <v>82</v>
      </c>
      <c r="D14" s="38"/>
      <c r="E14" s="24"/>
      <c r="F14" s="24"/>
      <c r="G14" s="6" t="n">
        <f aca="false">COUNTIF(D14,"Sim")</f>
        <v>0</v>
      </c>
      <c r="H14" s="6" t="n">
        <f aca="false">COUNTIF(D14,"Parcialmente")</f>
        <v>0</v>
      </c>
      <c r="I14" s="6" t="n">
        <f aca="false">COUNTIF(D14,"Não")</f>
        <v>0</v>
      </c>
      <c r="J14" s="6" t="n">
        <f aca="false">COUNTIF(D14,"NA")</f>
        <v>0</v>
      </c>
    </row>
    <row r="15" customFormat="false" ht="15" hidden="false" customHeight="true" outlineLevel="0" collapsed="false">
      <c r="A15" s="26" t="s">
        <v>83</v>
      </c>
      <c r="B15" s="20"/>
      <c r="C15" s="21" t="s">
        <v>18</v>
      </c>
      <c r="D15" s="39"/>
      <c r="E15" s="22"/>
      <c r="F15" s="22"/>
    </row>
    <row r="16" customFormat="false" ht="18.75" hidden="false" customHeight="true" outlineLevel="0" collapsed="false">
      <c r="A16" s="26"/>
      <c r="B16" s="23" t="n">
        <v>8</v>
      </c>
      <c r="C16" s="24" t="s">
        <v>103</v>
      </c>
      <c r="D16" s="38"/>
      <c r="E16" s="24"/>
      <c r="F16" s="24"/>
      <c r="G16" s="6" t="n">
        <f aca="false">COUNTIF(D16,"Sim")</f>
        <v>0</v>
      </c>
      <c r="H16" s="6" t="n">
        <f aca="false">COUNTIF(D16,"Parcialmente")</f>
        <v>0</v>
      </c>
      <c r="I16" s="6" t="n">
        <f aca="false">COUNTIF(D16,"Não")</f>
        <v>0</v>
      </c>
      <c r="J16" s="6" t="n">
        <f aca="false">COUNTIF(D16,"NA")</f>
        <v>0</v>
      </c>
    </row>
    <row r="17" customFormat="false" ht="15" hidden="false" customHeight="true" outlineLevel="0" collapsed="false">
      <c r="A17" s="19" t="s">
        <v>88</v>
      </c>
      <c r="B17" s="20"/>
      <c r="C17" s="21" t="s">
        <v>22</v>
      </c>
      <c r="D17" s="39"/>
      <c r="E17" s="22"/>
      <c r="F17" s="22"/>
    </row>
    <row r="18" customFormat="false" ht="18.75" hidden="false" customHeight="true" outlineLevel="0" collapsed="false">
      <c r="A18" s="19"/>
      <c r="B18" s="23" t="n">
        <v>9</v>
      </c>
      <c r="C18" s="24" t="s">
        <v>113</v>
      </c>
      <c r="D18" s="38"/>
      <c r="E18" s="24"/>
      <c r="F18" s="24"/>
      <c r="G18" s="6" t="n">
        <f aca="false">COUNTIF(D18:D21,"Sim")</f>
        <v>0</v>
      </c>
      <c r="H18" s="6" t="n">
        <f aca="false">COUNTIF(D18:D21,"Parcialmente")</f>
        <v>0</v>
      </c>
      <c r="I18" s="6" t="n">
        <f aca="false">COUNTIF(D18:D21,"Não")</f>
        <v>0</v>
      </c>
      <c r="J18" s="6" t="n">
        <f aca="false">COUNTIF(D18:D21,"NA")</f>
        <v>0</v>
      </c>
    </row>
    <row r="19" customFormat="false" ht="18.75" hidden="false" customHeight="true" outlineLevel="0" collapsed="false">
      <c r="A19" s="19"/>
      <c r="B19" s="23" t="n">
        <v>10</v>
      </c>
      <c r="C19" s="24" t="s">
        <v>114</v>
      </c>
      <c r="D19" s="38"/>
      <c r="E19" s="24"/>
      <c r="F19" s="24"/>
    </row>
    <row r="20" customFormat="false" ht="18.75" hidden="false" customHeight="true" outlineLevel="0" collapsed="false">
      <c r="A20" s="19"/>
      <c r="B20" s="23" t="n">
        <v>11</v>
      </c>
      <c r="C20" s="24" t="s">
        <v>90</v>
      </c>
      <c r="D20" s="38"/>
      <c r="E20" s="24"/>
      <c r="F20" s="24"/>
    </row>
    <row r="21" customFormat="false" ht="18.75" hidden="false" customHeight="true" outlineLevel="0" collapsed="false">
      <c r="A21" s="19"/>
      <c r="B21" s="23" t="n">
        <v>13</v>
      </c>
      <c r="C21" s="24" t="s">
        <v>115</v>
      </c>
      <c r="D21" s="38"/>
      <c r="E21" s="24"/>
      <c r="F21" s="24"/>
    </row>
    <row r="22" customFormat="false" ht="18.75" hidden="false" customHeight="true" outlineLevel="0" collapsed="false">
      <c r="A22" s="26" t="s">
        <v>105</v>
      </c>
      <c r="B22" s="20"/>
      <c r="C22" s="21" t="s">
        <v>26</v>
      </c>
      <c r="D22" s="39"/>
      <c r="E22" s="22"/>
      <c r="F22" s="22"/>
    </row>
    <row r="23" customFormat="false" ht="18.75" hidden="false" customHeight="true" outlineLevel="0" collapsed="false">
      <c r="A23" s="26"/>
      <c r="B23" s="23" t="n">
        <v>14</v>
      </c>
      <c r="C23" s="24" t="s">
        <v>116</v>
      </c>
      <c r="D23" s="38"/>
      <c r="E23" s="24"/>
      <c r="F23" s="24"/>
      <c r="G23" s="6" t="n">
        <f aca="false">COUNTIF(D23:D24,"Sim")</f>
        <v>0</v>
      </c>
      <c r="H23" s="6" t="n">
        <f aca="false">COUNTIF(D23:D24,"Parcialmente")</f>
        <v>0</v>
      </c>
      <c r="I23" s="6" t="n">
        <f aca="false">COUNTIF(D23:D24,"Não")</f>
        <v>0</v>
      </c>
      <c r="J23" s="6" t="n">
        <f aca="false">COUNTIF(D23:D24,"NA")</f>
        <v>0</v>
      </c>
    </row>
    <row r="24" customFormat="false" ht="18.75" hidden="false" customHeight="true" outlineLevel="0" collapsed="false">
      <c r="A24" s="26"/>
      <c r="B24" s="23" t="n">
        <v>15</v>
      </c>
      <c r="C24" s="24" t="s">
        <v>109</v>
      </c>
      <c r="D24" s="38"/>
      <c r="E24" s="24"/>
      <c r="F24" s="24"/>
    </row>
    <row r="25" customFormat="false" ht="15" hidden="false" customHeight="true" outlineLevel="0" collapsed="false">
      <c r="A25" s="26" t="s">
        <v>117</v>
      </c>
      <c r="B25" s="20"/>
      <c r="C25" s="21" t="s">
        <v>27</v>
      </c>
      <c r="D25" s="39"/>
      <c r="E25" s="22"/>
      <c r="F25" s="22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</row>
    <row r="26" customFormat="false" ht="18.75" hidden="false" customHeight="true" outlineLevel="0" collapsed="false">
      <c r="A26" s="26"/>
      <c r="B26" s="30" t="n">
        <v>24</v>
      </c>
      <c r="C26" s="28" t="s">
        <v>46</v>
      </c>
      <c r="D26" s="38"/>
      <c r="E26" s="24"/>
      <c r="F26" s="24"/>
      <c r="G26" s="6" t="n">
        <f aca="false">COUNTIF(D26:D27,"Sim")</f>
        <v>0</v>
      </c>
      <c r="H26" s="6" t="n">
        <f aca="false">COUNTIF(D26:D27,"Parcialmente")</f>
        <v>0</v>
      </c>
      <c r="I26" s="6" t="n">
        <f aca="false">COUNTIF(D26:D27,"Não")</f>
        <v>0</v>
      </c>
      <c r="J26" s="6" t="n">
        <f aca="false">COUNTIF(D26:D27,"NA")</f>
        <v>0</v>
      </c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customFormat="false" ht="18.75" hidden="false" customHeight="true" outlineLevel="0" collapsed="false">
      <c r="A27" s="26"/>
      <c r="B27" s="23" t="n">
        <v>25</v>
      </c>
      <c r="C27" s="24" t="s">
        <v>118</v>
      </c>
      <c r="D27" s="38"/>
      <c r="E27" s="24"/>
      <c r="F27" s="24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customFormat="false" ht="18.75" hidden="false" customHeight="true" outlineLevel="0" collapsed="false">
      <c r="A28" s="26"/>
      <c r="B28" s="20"/>
      <c r="C28" s="21" t="s">
        <v>28</v>
      </c>
      <c r="D28" s="39"/>
      <c r="E28" s="22"/>
      <c r="F28" s="22"/>
    </row>
    <row r="29" customFormat="false" ht="18.75" hidden="false" customHeight="true" outlineLevel="0" collapsed="false">
      <c r="A29" s="26"/>
      <c r="B29" s="30" t="n">
        <v>26</v>
      </c>
      <c r="C29" s="28" t="s">
        <v>46</v>
      </c>
      <c r="D29" s="38"/>
      <c r="E29" s="24"/>
      <c r="F29" s="24"/>
      <c r="G29" s="6" t="n">
        <f aca="false">COUNTIF(D29,"Sim")</f>
        <v>0</v>
      </c>
      <c r="H29" s="6" t="n">
        <f aca="false">COUNTIF(D29,"Parcialmente")</f>
        <v>0</v>
      </c>
      <c r="I29" s="6" t="n">
        <f aca="false">COUNTIF(D29,"Não")</f>
        <v>0</v>
      </c>
      <c r="J29" s="6" t="n">
        <f aca="false">COUNTIF(D29,"NA")</f>
        <v>0</v>
      </c>
    </row>
    <row r="30" customFormat="false" ht="18.75" hidden="false" customHeight="true" outlineLevel="0" collapsed="false">
      <c r="A30" s="19" t="s">
        <v>93</v>
      </c>
      <c r="B30" s="20"/>
      <c r="C30" s="21" t="s">
        <v>23</v>
      </c>
      <c r="D30" s="39"/>
      <c r="E30" s="22"/>
      <c r="F30" s="22"/>
    </row>
    <row r="31" customFormat="false" ht="18.75" hidden="false" customHeight="true" outlineLevel="0" collapsed="false">
      <c r="A31" s="19"/>
      <c r="B31" s="23" t="n">
        <v>19</v>
      </c>
      <c r="C31" s="24" t="s">
        <v>94</v>
      </c>
      <c r="D31" s="38"/>
      <c r="E31" s="24"/>
      <c r="F31" s="24"/>
      <c r="G31" s="6" t="n">
        <f aca="false">COUNTIF(D31:D35,"Sim")</f>
        <v>0</v>
      </c>
      <c r="H31" s="6" t="n">
        <f aca="false">COUNTIF(D31:D35,"Parcialmente")</f>
        <v>0</v>
      </c>
      <c r="I31" s="6" t="n">
        <f aca="false">COUNTIF(D31:D35,"Não")</f>
        <v>0</v>
      </c>
      <c r="J31" s="6" t="n">
        <f aca="false">COUNTIF(D31:D35,"NA")</f>
        <v>0</v>
      </c>
    </row>
    <row r="32" customFormat="false" ht="18.75" hidden="false" customHeight="true" outlineLevel="0" collapsed="false">
      <c r="A32" s="19"/>
      <c r="B32" s="23" t="n">
        <v>20</v>
      </c>
      <c r="C32" s="24" t="s">
        <v>110</v>
      </c>
      <c r="D32" s="38"/>
      <c r="E32" s="24"/>
      <c r="F32" s="24"/>
    </row>
    <row r="33" customFormat="false" ht="18.75" hidden="false" customHeight="true" outlineLevel="0" collapsed="false">
      <c r="A33" s="19"/>
      <c r="B33" s="23" t="n">
        <v>21</v>
      </c>
      <c r="C33" s="24" t="s">
        <v>111</v>
      </c>
      <c r="D33" s="38"/>
      <c r="E33" s="24"/>
      <c r="F33" s="24"/>
    </row>
    <row r="34" customFormat="false" ht="18.75" hidden="false" customHeight="true" outlineLevel="0" collapsed="false">
      <c r="A34" s="19"/>
      <c r="B34" s="23" t="n">
        <v>24</v>
      </c>
      <c r="C34" s="24" t="s">
        <v>119</v>
      </c>
      <c r="D34" s="38"/>
      <c r="E34" s="24"/>
      <c r="F34" s="24"/>
    </row>
    <row r="35" customFormat="false" ht="18.75" hidden="false" customHeight="true" outlineLevel="0" collapsed="false">
      <c r="A35" s="19"/>
      <c r="B35" s="23" t="n">
        <v>25</v>
      </c>
      <c r="C35" s="24" t="s">
        <v>99</v>
      </c>
      <c r="D35" s="38"/>
      <c r="E35" s="24"/>
      <c r="F35" s="24"/>
    </row>
    <row r="36" customFormat="false" ht="15" hidden="false" customHeight="true" outlineLevel="0" collapsed="false">
      <c r="A36" s="32" t="s">
        <v>68</v>
      </c>
      <c r="B36" s="20"/>
      <c r="C36" s="21" t="s">
        <v>24</v>
      </c>
      <c r="D36" s="39"/>
      <c r="E36" s="22"/>
      <c r="F36" s="22"/>
    </row>
    <row r="37" customFormat="false" ht="18.75" hidden="false" customHeight="true" outlineLevel="0" collapsed="false">
      <c r="A37" s="32"/>
      <c r="B37" s="23" t="n">
        <v>26</v>
      </c>
      <c r="C37" s="24" t="s">
        <v>70</v>
      </c>
      <c r="D37" s="38"/>
      <c r="E37" s="24"/>
      <c r="F37" s="24"/>
      <c r="G37" s="6" t="n">
        <f aca="false">COUNTIF(D37:D39,"Sim")</f>
        <v>0</v>
      </c>
      <c r="H37" s="6" t="n">
        <f aca="false">COUNTIF(D37:D39,"Parcialmente")</f>
        <v>0</v>
      </c>
      <c r="I37" s="6" t="n">
        <f aca="false">COUNTIF(D37:D39,"Não")</f>
        <v>0</v>
      </c>
      <c r="J37" s="6" t="n">
        <f aca="false">COUNTIF(D37:D39,"NA")</f>
        <v>0</v>
      </c>
    </row>
    <row r="38" customFormat="false" ht="18.75" hidden="false" customHeight="true" outlineLevel="0" collapsed="false">
      <c r="A38" s="32"/>
      <c r="B38" s="23" t="n">
        <v>27</v>
      </c>
      <c r="C38" s="24" t="s">
        <v>71</v>
      </c>
      <c r="D38" s="38"/>
      <c r="E38" s="24"/>
      <c r="F38" s="24"/>
    </row>
    <row r="39" customFormat="false" ht="18.75" hidden="false" customHeight="true" outlineLevel="0" collapsed="false">
      <c r="A39" s="32"/>
      <c r="B39" s="23" t="n">
        <v>28</v>
      </c>
      <c r="C39" s="24" t="s">
        <v>72</v>
      </c>
      <c r="D39" s="38"/>
      <c r="E39" s="24"/>
      <c r="F39" s="24"/>
    </row>
    <row r="40" customFormat="false" ht="18.75" hidden="false" customHeight="true" outlineLevel="0" collapsed="false">
      <c r="A40" s="32"/>
      <c r="B40" s="23"/>
      <c r="C40" s="24" t="s">
        <v>112</v>
      </c>
      <c r="D40" s="38"/>
      <c r="E40" s="24"/>
      <c r="F40" s="24"/>
    </row>
    <row r="41" customFormat="false" ht="18.75" hidden="false" customHeight="true" outlineLevel="0" collapsed="false">
      <c r="A41" s="32"/>
      <c r="B41" s="20"/>
      <c r="C41" s="21" t="s">
        <v>25</v>
      </c>
      <c r="D41" s="39"/>
      <c r="E41" s="22"/>
      <c r="F41" s="22"/>
    </row>
    <row r="42" customFormat="false" ht="18.75" hidden="false" customHeight="true" outlineLevel="0" collapsed="false">
      <c r="A42" s="32"/>
      <c r="B42" s="23" t="n">
        <v>29</v>
      </c>
      <c r="C42" s="24" t="s">
        <v>100</v>
      </c>
      <c r="D42" s="38"/>
      <c r="E42" s="24"/>
      <c r="F42" s="24"/>
      <c r="G42" s="6" t="n">
        <f aca="false">COUNTIF(D42:D43,"Sim")</f>
        <v>0</v>
      </c>
      <c r="H42" s="6" t="n">
        <f aca="false">COUNTIF(D42:D43,"Parcialmente")</f>
        <v>0</v>
      </c>
      <c r="I42" s="6" t="n">
        <f aca="false">COUNTIF(D42:D43,"Não")</f>
        <v>0</v>
      </c>
      <c r="J42" s="6" t="n">
        <f aca="false">COUNTIF(D42:D43,"NA")</f>
        <v>0</v>
      </c>
    </row>
    <row r="43" customFormat="false" ht="18.75" hidden="false" customHeight="true" outlineLevel="0" collapsed="false">
      <c r="A43" s="32"/>
      <c r="B43" s="23" t="n">
        <v>30</v>
      </c>
      <c r="C43" s="24" t="s">
        <v>101</v>
      </c>
      <c r="D43" s="38"/>
      <c r="E43" s="24"/>
      <c r="F43" s="24"/>
    </row>
    <row r="44" customFormat="false" ht="18.75" hidden="false" customHeight="true" outlineLevel="0" collapsed="false">
      <c r="B44" s="33"/>
      <c r="C44" s="29"/>
    </row>
    <row r="45" customFormat="false" ht="18.75" hidden="false" customHeight="true" outlineLevel="0" collapsed="false">
      <c r="B45" s="33"/>
      <c r="C45" s="29"/>
    </row>
    <row r="46" customFormat="false" ht="18.75" hidden="false" customHeight="true" outlineLevel="0" collapsed="false">
      <c r="B46" s="33"/>
      <c r="C46" s="29"/>
    </row>
    <row r="47" customFormat="false" ht="18.75" hidden="false" customHeight="true" outlineLevel="0" collapsed="false">
      <c r="B47" s="33"/>
      <c r="C47" s="29"/>
    </row>
    <row r="48" customFormat="false" ht="18.75" hidden="false" customHeight="true" outlineLevel="0" collapsed="false">
      <c r="B48" s="33"/>
      <c r="C48" s="29"/>
    </row>
    <row r="49" customFormat="false" ht="18.75" hidden="false" customHeight="true" outlineLevel="0" collapsed="false">
      <c r="B49" s="33"/>
      <c r="C49" s="29"/>
    </row>
    <row r="50" customFormat="false" ht="18.75" hidden="false" customHeight="true" outlineLevel="0" collapsed="false">
      <c r="B50" s="33"/>
      <c r="C50" s="29"/>
    </row>
    <row r="51" customFormat="false" ht="18.75" hidden="false" customHeight="true" outlineLevel="0" collapsed="false">
      <c r="B51" s="33"/>
      <c r="C51" s="29"/>
    </row>
    <row r="52" customFormat="false" ht="18.75" hidden="false" customHeight="true" outlineLevel="0" collapsed="false"/>
    <row r="53" customFormat="false" ht="18.75" hidden="false" customHeight="true" outlineLevel="0" collapsed="false"/>
    <row r="54" customFormat="false" ht="18.75" hidden="false" customHeight="true" outlineLevel="0" collapsed="false"/>
    <row r="55" customFormat="false" ht="18.75" hidden="false" customHeight="true" outlineLevel="0" collapsed="false"/>
    <row r="56" customFormat="false" ht="18.75" hidden="false" customHeight="true" outlineLevel="0" collapsed="false"/>
    <row r="57" customFormat="false" ht="18.75" hidden="false" customHeight="true" outlineLevel="0" collapsed="false"/>
    <row r="58" customFormat="false" ht="18.75" hidden="false" customHeight="true" outlineLevel="0" collapsed="false"/>
    <row r="59" customFormat="false" ht="18.75" hidden="false" customHeight="true" outlineLevel="0" collapsed="false">
      <c r="B59" s="33"/>
      <c r="C59" s="29"/>
    </row>
    <row r="60" customFormat="false" ht="18.75" hidden="false" customHeight="true" outlineLevel="0" collapsed="false">
      <c r="B60" s="33"/>
      <c r="C60" s="29"/>
    </row>
    <row r="61" customFormat="false" ht="18.75" hidden="false" customHeight="true" outlineLevel="0" collapsed="false">
      <c r="B61" s="33"/>
      <c r="C61" s="29"/>
    </row>
    <row r="62" customFormat="false" ht="18.75" hidden="false" customHeight="true" outlineLevel="0" collapsed="false">
      <c r="B62" s="33"/>
      <c r="C62" s="29"/>
    </row>
    <row r="63" customFormat="false" ht="18.75" hidden="false" customHeight="true" outlineLevel="0" collapsed="false">
      <c r="B63" s="33"/>
      <c r="C63" s="29"/>
    </row>
    <row r="64" customFormat="false" ht="18.75" hidden="false" customHeight="true" outlineLevel="0" collapsed="false">
      <c r="B64" s="33"/>
      <c r="C64" s="29"/>
    </row>
    <row r="65" customFormat="false" ht="18.75" hidden="false" customHeight="true" outlineLevel="0" collapsed="false">
      <c r="B65" s="33"/>
      <c r="C65" s="29"/>
    </row>
    <row r="66" customFormat="false" ht="18.75" hidden="false" customHeight="true" outlineLevel="0" collapsed="false">
      <c r="B66" s="33"/>
      <c r="C66" s="29"/>
    </row>
    <row r="67" customFormat="false" ht="18.75" hidden="false" customHeight="true" outlineLevel="0" collapsed="false">
      <c r="B67" s="33"/>
      <c r="C67" s="29"/>
    </row>
    <row r="68" customFormat="false" ht="18.75" hidden="false" customHeight="true" outlineLevel="0" collapsed="false">
      <c r="B68" s="33"/>
      <c r="C68" s="29"/>
    </row>
    <row r="69" customFormat="false" ht="18.75" hidden="false" customHeight="true" outlineLevel="0" collapsed="false">
      <c r="B69" s="33"/>
      <c r="C69" s="29"/>
    </row>
    <row r="70" customFormat="false" ht="18.75" hidden="false" customHeight="true" outlineLevel="0" collapsed="false">
      <c r="B70" s="33"/>
      <c r="C70" s="29"/>
    </row>
    <row r="71" customFormat="false" ht="18.75" hidden="false" customHeight="true" outlineLevel="0" collapsed="false">
      <c r="B71" s="33"/>
      <c r="C71" s="29"/>
    </row>
    <row r="72" customFormat="false" ht="18.75" hidden="false" customHeight="true" outlineLevel="0" collapsed="false">
      <c r="B72" s="33"/>
      <c r="C72" s="29"/>
    </row>
    <row r="73" customFormat="false" ht="18.75" hidden="false" customHeight="true" outlineLevel="0" collapsed="false">
      <c r="B73" s="33"/>
      <c r="C73" s="29"/>
    </row>
    <row r="74" customFormat="false" ht="18.75" hidden="false" customHeight="true" outlineLevel="0" collapsed="false">
      <c r="B74" s="33"/>
      <c r="C74" s="29"/>
    </row>
    <row r="75" customFormat="false" ht="18.75" hidden="false" customHeight="true" outlineLevel="0" collapsed="false">
      <c r="B75" s="33"/>
      <c r="C75" s="29"/>
    </row>
    <row r="76" customFormat="false" ht="18.75" hidden="false" customHeight="true" outlineLevel="0" collapsed="false">
      <c r="B76" s="33"/>
      <c r="C76" s="29"/>
    </row>
    <row r="77" customFormat="false" ht="18.75" hidden="false" customHeight="true" outlineLevel="0" collapsed="false">
      <c r="B77" s="33"/>
      <c r="C77" s="29"/>
    </row>
    <row r="78" customFormat="false" ht="18.75" hidden="false" customHeight="true" outlineLevel="0" collapsed="false">
      <c r="B78" s="33"/>
      <c r="C78" s="29"/>
    </row>
    <row r="79" customFormat="false" ht="18.75" hidden="false" customHeight="true" outlineLevel="0" collapsed="false">
      <c r="B79" s="33"/>
      <c r="C79" s="29"/>
    </row>
    <row r="80" customFormat="false" ht="18.75" hidden="false" customHeight="true" outlineLevel="0" collapsed="false">
      <c r="B80" s="33"/>
      <c r="C80" s="29"/>
    </row>
    <row r="81" customFormat="false" ht="18.75" hidden="false" customHeight="true" outlineLevel="0" collapsed="false">
      <c r="B81" s="33"/>
      <c r="C81" s="29"/>
    </row>
    <row r="82" customFormat="false" ht="18.75" hidden="false" customHeight="true" outlineLevel="0" collapsed="false">
      <c r="B82" s="33"/>
      <c r="C82" s="29"/>
    </row>
    <row r="83" customFormat="false" ht="18.75" hidden="false" customHeight="true" outlineLevel="0" collapsed="false">
      <c r="B83" s="33"/>
      <c r="C83" s="29"/>
    </row>
    <row r="84" customFormat="false" ht="18.75" hidden="false" customHeight="true" outlineLevel="0" collapsed="false">
      <c r="B84" s="33"/>
      <c r="C84" s="29"/>
    </row>
    <row r="85" customFormat="false" ht="18.75" hidden="false" customHeight="true" outlineLevel="0" collapsed="false">
      <c r="B85" s="33"/>
      <c r="C85" s="29"/>
    </row>
    <row r="86" customFormat="false" ht="18.75" hidden="false" customHeight="true" outlineLevel="0" collapsed="false">
      <c r="B86" s="33"/>
      <c r="C86" s="29"/>
    </row>
    <row r="87" customFormat="false" ht="18.75" hidden="false" customHeight="true" outlineLevel="0" collapsed="false">
      <c r="B87" s="33"/>
      <c r="C87" s="29"/>
    </row>
    <row r="88" customFormat="false" ht="18.75" hidden="false" customHeight="true" outlineLevel="0" collapsed="false">
      <c r="B88" s="33"/>
      <c r="C88" s="29"/>
    </row>
    <row r="89" customFormat="false" ht="18.75" hidden="false" customHeight="true" outlineLevel="0" collapsed="false">
      <c r="B89" s="33"/>
      <c r="C89" s="29"/>
    </row>
    <row r="90" customFormat="false" ht="18.75" hidden="false" customHeight="true" outlineLevel="0" collapsed="false">
      <c r="B90" s="33"/>
      <c r="C90" s="29"/>
    </row>
    <row r="91" customFormat="false" ht="18.75" hidden="false" customHeight="true" outlineLevel="0" collapsed="false">
      <c r="B91" s="33"/>
      <c r="C91" s="29"/>
    </row>
    <row r="92" customFormat="false" ht="18.75" hidden="false" customHeight="true" outlineLevel="0" collapsed="false">
      <c r="B92" s="33"/>
      <c r="C92" s="29"/>
    </row>
    <row r="93" customFormat="false" ht="18.75" hidden="false" customHeight="true" outlineLevel="0" collapsed="false">
      <c r="B93" s="33"/>
      <c r="C93" s="29"/>
    </row>
    <row r="94" customFormat="false" ht="18.75" hidden="false" customHeight="true" outlineLevel="0" collapsed="false">
      <c r="B94" s="33"/>
      <c r="C94" s="29"/>
    </row>
    <row r="95" customFormat="false" ht="18.75" hidden="false" customHeight="true" outlineLevel="0" collapsed="false">
      <c r="B95" s="33"/>
      <c r="C95" s="29"/>
    </row>
    <row r="96" customFormat="false" ht="18.75" hidden="false" customHeight="true" outlineLevel="0" collapsed="false">
      <c r="B96" s="33"/>
      <c r="C96" s="29"/>
    </row>
    <row r="97" customFormat="false" ht="18.75" hidden="false" customHeight="true" outlineLevel="0" collapsed="false">
      <c r="B97" s="33"/>
      <c r="C97" s="29"/>
    </row>
    <row r="98" customFormat="false" ht="18.75" hidden="false" customHeight="true" outlineLevel="0" collapsed="false">
      <c r="B98" s="33"/>
      <c r="C98" s="29"/>
    </row>
    <row r="99" customFormat="false" ht="18.75" hidden="false" customHeight="true" outlineLevel="0" collapsed="false">
      <c r="B99" s="33"/>
      <c r="C99" s="29"/>
    </row>
    <row r="100" customFormat="false" ht="18.75" hidden="false" customHeight="true" outlineLevel="0" collapsed="false">
      <c r="B100" s="33"/>
      <c r="C100" s="29"/>
    </row>
    <row r="101" customFormat="false" ht="18.75" hidden="false" customHeight="true" outlineLevel="0" collapsed="false">
      <c r="B101" s="33"/>
      <c r="C101" s="29"/>
    </row>
    <row r="102" customFormat="false" ht="18.75" hidden="false" customHeight="true" outlineLevel="0" collapsed="false">
      <c r="B102" s="33"/>
      <c r="C102" s="29"/>
    </row>
    <row r="103" customFormat="false" ht="18.75" hidden="false" customHeight="true" outlineLevel="0" collapsed="false">
      <c r="B103" s="33"/>
      <c r="C103" s="29"/>
    </row>
    <row r="104" customFormat="false" ht="18.75" hidden="false" customHeight="true" outlineLevel="0" collapsed="false">
      <c r="B104" s="33"/>
      <c r="C104" s="29"/>
    </row>
    <row r="105" customFormat="false" ht="18.75" hidden="false" customHeight="true" outlineLevel="0" collapsed="false">
      <c r="B105" s="33"/>
      <c r="C105" s="29"/>
    </row>
    <row r="106" customFormat="false" ht="18.75" hidden="false" customHeight="true" outlineLevel="0" collapsed="false">
      <c r="B106" s="33"/>
      <c r="C106" s="29"/>
    </row>
    <row r="107" customFormat="false" ht="18.75" hidden="false" customHeight="true" outlineLevel="0" collapsed="false">
      <c r="B107" s="33"/>
      <c r="C107" s="29"/>
    </row>
    <row r="108" customFormat="false" ht="18.75" hidden="false" customHeight="true" outlineLevel="0" collapsed="false">
      <c r="B108" s="33"/>
      <c r="C108" s="29"/>
    </row>
    <row r="109" customFormat="false" ht="18.75" hidden="false" customHeight="true" outlineLevel="0" collapsed="false">
      <c r="B109" s="33"/>
      <c r="C109" s="29"/>
    </row>
    <row r="110" customFormat="false" ht="18.75" hidden="false" customHeight="true" outlineLevel="0" collapsed="false">
      <c r="B110" s="33"/>
      <c r="C110" s="29"/>
    </row>
    <row r="111" customFormat="false" ht="18.75" hidden="false" customHeight="true" outlineLevel="0" collapsed="false">
      <c r="B111" s="33"/>
      <c r="C111" s="29"/>
    </row>
    <row r="112" customFormat="false" ht="18.75" hidden="false" customHeight="true" outlineLevel="0" collapsed="false">
      <c r="B112" s="33"/>
      <c r="C112" s="29"/>
    </row>
    <row r="113" customFormat="false" ht="18.75" hidden="false" customHeight="true" outlineLevel="0" collapsed="false">
      <c r="B113" s="33"/>
      <c r="C113" s="29"/>
    </row>
    <row r="114" customFormat="false" ht="18.75" hidden="false" customHeight="true" outlineLevel="0" collapsed="false">
      <c r="B114" s="33"/>
      <c r="C114" s="29"/>
    </row>
    <row r="115" customFormat="false" ht="18.75" hidden="false" customHeight="true" outlineLevel="0" collapsed="false">
      <c r="B115" s="33"/>
      <c r="C115" s="29"/>
    </row>
    <row r="116" customFormat="false" ht="18.75" hidden="false" customHeight="true" outlineLevel="0" collapsed="false">
      <c r="B116" s="33"/>
      <c r="C116" s="29"/>
    </row>
    <row r="117" customFormat="false" ht="18.75" hidden="false" customHeight="true" outlineLevel="0" collapsed="false">
      <c r="B117" s="33"/>
      <c r="C117" s="29"/>
    </row>
    <row r="118" customFormat="false" ht="18.75" hidden="false" customHeight="true" outlineLevel="0" collapsed="false">
      <c r="B118" s="33"/>
      <c r="C118" s="29"/>
    </row>
    <row r="119" customFormat="false" ht="18.75" hidden="false" customHeight="true" outlineLevel="0" collapsed="false">
      <c r="B119" s="33"/>
      <c r="C119" s="29"/>
    </row>
    <row r="120" customFormat="false" ht="18.75" hidden="false" customHeight="true" outlineLevel="0" collapsed="false">
      <c r="B120" s="33"/>
      <c r="C120" s="29"/>
    </row>
    <row r="121" customFormat="false" ht="18.75" hidden="false" customHeight="true" outlineLevel="0" collapsed="false">
      <c r="B121" s="33"/>
      <c r="C121" s="29"/>
    </row>
    <row r="122" customFormat="false" ht="18.75" hidden="false" customHeight="true" outlineLevel="0" collapsed="false">
      <c r="B122" s="33"/>
      <c r="C122" s="29"/>
    </row>
    <row r="123" customFormat="false" ht="18.75" hidden="false" customHeight="true" outlineLevel="0" collapsed="false">
      <c r="B123" s="33"/>
      <c r="C123" s="29"/>
    </row>
    <row r="124" customFormat="false" ht="18.75" hidden="false" customHeight="true" outlineLevel="0" collapsed="false">
      <c r="B124" s="33"/>
      <c r="C124" s="29"/>
    </row>
    <row r="125" customFormat="false" ht="18.75" hidden="false" customHeight="true" outlineLevel="0" collapsed="false">
      <c r="B125" s="33"/>
      <c r="C125" s="29"/>
    </row>
    <row r="126" customFormat="false" ht="18.75" hidden="false" customHeight="true" outlineLevel="0" collapsed="false">
      <c r="B126" s="33"/>
      <c r="C126" s="29"/>
    </row>
    <row r="127" customFormat="false" ht="18.75" hidden="false" customHeight="true" outlineLevel="0" collapsed="false">
      <c r="B127" s="33"/>
      <c r="C127" s="29"/>
    </row>
    <row r="128" customFormat="false" ht="18.75" hidden="false" customHeight="true" outlineLevel="0" collapsed="false">
      <c r="B128" s="33"/>
      <c r="C128" s="29"/>
    </row>
    <row r="129" customFormat="false" ht="18.75" hidden="false" customHeight="true" outlineLevel="0" collapsed="false">
      <c r="B129" s="33"/>
      <c r="C129" s="29"/>
    </row>
    <row r="130" customFormat="false" ht="18.75" hidden="false" customHeight="true" outlineLevel="0" collapsed="false">
      <c r="B130" s="33"/>
      <c r="C130" s="29"/>
    </row>
    <row r="131" customFormat="false" ht="18.75" hidden="false" customHeight="true" outlineLevel="0" collapsed="false">
      <c r="B131" s="33"/>
      <c r="C131" s="29"/>
    </row>
    <row r="132" customFormat="false" ht="18.75" hidden="false" customHeight="true" outlineLevel="0" collapsed="false">
      <c r="B132" s="33"/>
      <c r="C132" s="29"/>
    </row>
    <row r="133" customFormat="false" ht="18.75" hidden="false" customHeight="true" outlineLevel="0" collapsed="false">
      <c r="B133" s="33"/>
      <c r="C133" s="29"/>
    </row>
    <row r="134" customFormat="false" ht="18.75" hidden="false" customHeight="true" outlineLevel="0" collapsed="false">
      <c r="B134" s="33"/>
      <c r="C134" s="29"/>
    </row>
    <row r="135" customFormat="false" ht="18.75" hidden="false" customHeight="true" outlineLevel="0" collapsed="false">
      <c r="B135" s="33"/>
      <c r="C135" s="29"/>
    </row>
    <row r="136" customFormat="false" ht="18.75" hidden="false" customHeight="true" outlineLevel="0" collapsed="false">
      <c r="B136" s="33"/>
      <c r="C136" s="29"/>
    </row>
    <row r="137" customFormat="false" ht="18.75" hidden="false" customHeight="true" outlineLevel="0" collapsed="false">
      <c r="B137" s="33"/>
      <c r="C137" s="29"/>
    </row>
    <row r="138" customFormat="false" ht="18.75" hidden="false" customHeight="true" outlineLevel="0" collapsed="false">
      <c r="B138" s="33"/>
      <c r="C138" s="29"/>
    </row>
    <row r="139" customFormat="false" ht="18.75" hidden="false" customHeight="true" outlineLevel="0" collapsed="false">
      <c r="B139" s="33"/>
      <c r="C139" s="29"/>
    </row>
    <row r="140" customFormat="false" ht="18.75" hidden="false" customHeight="true" outlineLevel="0" collapsed="false">
      <c r="B140" s="33"/>
      <c r="C140" s="29"/>
    </row>
    <row r="141" customFormat="false" ht="18.75" hidden="false" customHeight="true" outlineLevel="0" collapsed="false">
      <c r="B141" s="33"/>
      <c r="C141" s="29"/>
    </row>
    <row r="142" customFormat="false" ht="18.75" hidden="false" customHeight="true" outlineLevel="0" collapsed="false">
      <c r="B142" s="33"/>
      <c r="C142" s="29"/>
    </row>
    <row r="143" customFormat="false" ht="18.75" hidden="false" customHeight="true" outlineLevel="0" collapsed="false">
      <c r="B143" s="33"/>
      <c r="C143" s="29"/>
    </row>
    <row r="144" customFormat="false" ht="18.75" hidden="false" customHeight="true" outlineLevel="0" collapsed="false">
      <c r="B144" s="33"/>
      <c r="C144" s="29"/>
    </row>
    <row r="145" customFormat="false" ht="18.75" hidden="false" customHeight="true" outlineLevel="0" collapsed="false">
      <c r="B145" s="33"/>
      <c r="C145" s="29"/>
    </row>
    <row r="146" customFormat="false" ht="18.75" hidden="false" customHeight="true" outlineLevel="0" collapsed="false">
      <c r="B146" s="33"/>
      <c r="C146" s="29"/>
    </row>
    <row r="147" customFormat="false" ht="18.75" hidden="false" customHeight="true" outlineLevel="0" collapsed="false">
      <c r="B147" s="33"/>
      <c r="C147" s="29"/>
    </row>
    <row r="148" customFormat="false" ht="18.75" hidden="false" customHeight="true" outlineLevel="0" collapsed="false">
      <c r="B148" s="33"/>
      <c r="C148" s="29"/>
    </row>
    <row r="149" customFormat="false" ht="18.75" hidden="false" customHeight="true" outlineLevel="0" collapsed="false">
      <c r="B149" s="33"/>
      <c r="C149" s="29"/>
    </row>
    <row r="150" customFormat="false" ht="18.75" hidden="false" customHeight="true" outlineLevel="0" collapsed="false">
      <c r="B150" s="33"/>
      <c r="C150" s="29"/>
    </row>
    <row r="151" customFormat="false" ht="18.75" hidden="false" customHeight="true" outlineLevel="0" collapsed="false">
      <c r="B151" s="33"/>
      <c r="C151" s="29"/>
    </row>
    <row r="152" customFormat="false" ht="18.75" hidden="false" customHeight="true" outlineLevel="0" collapsed="false">
      <c r="B152" s="33"/>
      <c r="C152" s="29"/>
    </row>
    <row r="153" customFormat="false" ht="18.75" hidden="false" customHeight="true" outlineLevel="0" collapsed="false">
      <c r="B153" s="33"/>
      <c r="C153" s="29"/>
    </row>
    <row r="154" customFormat="false" ht="18.75" hidden="false" customHeight="true" outlineLevel="0" collapsed="false">
      <c r="B154" s="33"/>
      <c r="C154" s="29"/>
    </row>
    <row r="155" customFormat="false" ht="18.75" hidden="false" customHeight="true" outlineLevel="0" collapsed="false">
      <c r="B155" s="33"/>
      <c r="C155" s="29"/>
    </row>
    <row r="156" customFormat="false" ht="18.75" hidden="false" customHeight="true" outlineLevel="0" collapsed="false">
      <c r="B156" s="33"/>
      <c r="C156" s="29"/>
    </row>
    <row r="157" customFormat="false" ht="18.75" hidden="false" customHeight="true" outlineLevel="0" collapsed="false">
      <c r="B157" s="33"/>
      <c r="C157" s="29"/>
    </row>
    <row r="158" customFormat="false" ht="18.75" hidden="false" customHeight="true" outlineLevel="0" collapsed="false">
      <c r="B158" s="33"/>
      <c r="C158" s="29"/>
    </row>
    <row r="159" customFormat="false" ht="18.75" hidden="false" customHeight="true" outlineLevel="0" collapsed="false">
      <c r="B159" s="33"/>
      <c r="C159" s="29"/>
    </row>
    <row r="160" customFormat="false" ht="18.75" hidden="false" customHeight="true" outlineLevel="0" collapsed="false">
      <c r="B160" s="33"/>
      <c r="C160" s="29"/>
    </row>
    <row r="161" customFormat="false" ht="18.75" hidden="false" customHeight="true" outlineLevel="0" collapsed="false">
      <c r="B161" s="33"/>
      <c r="C161" s="29"/>
    </row>
    <row r="162" customFormat="false" ht="18.75" hidden="false" customHeight="true" outlineLevel="0" collapsed="false">
      <c r="B162" s="33"/>
      <c r="C162" s="29"/>
    </row>
    <row r="163" customFormat="false" ht="18.75" hidden="false" customHeight="true" outlineLevel="0" collapsed="false">
      <c r="B163" s="33"/>
      <c r="C163" s="29"/>
    </row>
    <row r="164" customFormat="false" ht="18.75" hidden="false" customHeight="true" outlineLevel="0" collapsed="false">
      <c r="B164" s="33"/>
      <c r="C164" s="29"/>
    </row>
    <row r="165" customFormat="false" ht="18.75" hidden="false" customHeight="true" outlineLevel="0" collapsed="false">
      <c r="B165" s="33"/>
      <c r="C165" s="29"/>
    </row>
    <row r="166" customFormat="false" ht="18.75" hidden="false" customHeight="true" outlineLevel="0" collapsed="false">
      <c r="B166" s="33"/>
      <c r="C166" s="29"/>
    </row>
    <row r="167" customFormat="false" ht="18.75" hidden="false" customHeight="true" outlineLevel="0" collapsed="false">
      <c r="B167" s="33"/>
      <c r="C167" s="29"/>
    </row>
    <row r="168" customFormat="false" ht="18.75" hidden="false" customHeight="true" outlineLevel="0" collapsed="false">
      <c r="B168" s="33"/>
      <c r="C168" s="29"/>
    </row>
    <row r="169" customFormat="false" ht="18.75" hidden="false" customHeight="true" outlineLevel="0" collapsed="false">
      <c r="B169" s="33"/>
      <c r="C169" s="29"/>
    </row>
    <row r="170" customFormat="false" ht="18.75" hidden="false" customHeight="true" outlineLevel="0" collapsed="false">
      <c r="B170" s="33"/>
      <c r="C170" s="29"/>
    </row>
    <row r="171" customFormat="false" ht="18.75" hidden="false" customHeight="true" outlineLevel="0" collapsed="false">
      <c r="B171" s="33"/>
      <c r="C171" s="29"/>
    </row>
    <row r="172" customFormat="false" ht="18.75" hidden="false" customHeight="true" outlineLevel="0" collapsed="false">
      <c r="B172" s="33"/>
      <c r="C172" s="29"/>
    </row>
    <row r="173" customFormat="false" ht="18.75" hidden="false" customHeight="true" outlineLevel="0" collapsed="false">
      <c r="B173" s="33"/>
      <c r="C173" s="29"/>
    </row>
    <row r="174" customFormat="false" ht="18.75" hidden="false" customHeight="true" outlineLevel="0" collapsed="false">
      <c r="B174" s="33"/>
      <c r="C174" s="29"/>
    </row>
    <row r="175" customFormat="false" ht="18.75" hidden="false" customHeight="true" outlineLevel="0" collapsed="false">
      <c r="B175" s="33"/>
      <c r="C175" s="29"/>
    </row>
    <row r="176" customFormat="false" ht="18.75" hidden="false" customHeight="true" outlineLevel="0" collapsed="false">
      <c r="B176" s="33"/>
      <c r="C176" s="29"/>
    </row>
    <row r="177" customFormat="false" ht="18.75" hidden="false" customHeight="true" outlineLevel="0" collapsed="false">
      <c r="B177" s="33"/>
      <c r="C177" s="29"/>
    </row>
    <row r="178" customFormat="false" ht="18.75" hidden="false" customHeight="true" outlineLevel="0" collapsed="false">
      <c r="B178" s="33"/>
      <c r="C178" s="29"/>
    </row>
    <row r="179" customFormat="false" ht="18.75" hidden="false" customHeight="true" outlineLevel="0" collapsed="false">
      <c r="B179" s="33"/>
      <c r="C179" s="29"/>
    </row>
    <row r="180" customFormat="false" ht="18.75" hidden="false" customHeight="true" outlineLevel="0" collapsed="false">
      <c r="B180" s="33"/>
      <c r="C180" s="29"/>
    </row>
    <row r="181" customFormat="false" ht="18.75" hidden="false" customHeight="true" outlineLevel="0" collapsed="false">
      <c r="B181" s="33"/>
      <c r="C181" s="29"/>
    </row>
    <row r="182" customFormat="false" ht="18.75" hidden="false" customHeight="true" outlineLevel="0" collapsed="false">
      <c r="B182" s="33"/>
      <c r="C182" s="29"/>
    </row>
    <row r="183" customFormat="false" ht="18.75" hidden="false" customHeight="true" outlineLevel="0" collapsed="false">
      <c r="B183" s="33"/>
      <c r="C183" s="29"/>
    </row>
    <row r="184" customFormat="false" ht="18.75" hidden="false" customHeight="true" outlineLevel="0" collapsed="false">
      <c r="B184" s="33"/>
      <c r="C184" s="29"/>
    </row>
    <row r="185" customFormat="false" ht="18.75" hidden="false" customHeight="true" outlineLevel="0" collapsed="false">
      <c r="B185" s="33"/>
      <c r="C185" s="29"/>
    </row>
    <row r="186" customFormat="false" ht="18.75" hidden="false" customHeight="true" outlineLevel="0" collapsed="false">
      <c r="B186" s="33"/>
      <c r="C186" s="29"/>
    </row>
    <row r="187" customFormat="false" ht="18.75" hidden="false" customHeight="true" outlineLevel="0" collapsed="false">
      <c r="B187" s="33"/>
      <c r="C187" s="29"/>
    </row>
    <row r="188" customFormat="false" ht="18.75" hidden="false" customHeight="true" outlineLevel="0" collapsed="false">
      <c r="B188" s="33"/>
      <c r="C188" s="29"/>
    </row>
    <row r="189" customFormat="false" ht="18.75" hidden="false" customHeight="true" outlineLevel="0" collapsed="false">
      <c r="B189" s="33"/>
      <c r="C189" s="29"/>
    </row>
    <row r="190" customFormat="false" ht="18.75" hidden="false" customHeight="true" outlineLevel="0" collapsed="false">
      <c r="B190" s="33"/>
      <c r="C190" s="29"/>
    </row>
    <row r="191" customFormat="false" ht="18.75" hidden="false" customHeight="true" outlineLevel="0" collapsed="false">
      <c r="B191" s="33"/>
      <c r="C191" s="29"/>
    </row>
    <row r="192" customFormat="false" ht="18.75" hidden="false" customHeight="true" outlineLevel="0" collapsed="false">
      <c r="B192" s="33"/>
      <c r="C192" s="29"/>
    </row>
    <row r="193" customFormat="false" ht="18.75" hidden="false" customHeight="true" outlineLevel="0" collapsed="false">
      <c r="B193" s="33"/>
      <c r="C193" s="29"/>
    </row>
    <row r="194" customFormat="false" ht="18.75" hidden="false" customHeight="true" outlineLevel="0" collapsed="false">
      <c r="B194" s="33"/>
      <c r="C194" s="29"/>
    </row>
    <row r="195" customFormat="false" ht="18.75" hidden="false" customHeight="true" outlineLevel="0" collapsed="false">
      <c r="B195" s="33"/>
      <c r="C195" s="29"/>
    </row>
    <row r="196" customFormat="false" ht="18.75" hidden="false" customHeight="true" outlineLevel="0" collapsed="false">
      <c r="B196" s="33"/>
      <c r="C196" s="29"/>
    </row>
    <row r="197" customFormat="false" ht="18.75" hidden="false" customHeight="true" outlineLevel="0" collapsed="false">
      <c r="B197" s="33"/>
      <c r="C197" s="29"/>
    </row>
    <row r="198" customFormat="false" ht="18.75" hidden="false" customHeight="true" outlineLevel="0" collapsed="false">
      <c r="B198" s="33"/>
      <c r="C198" s="29"/>
    </row>
    <row r="199" customFormat="false" ht="18.75" hidden="false" customHeight="true" outlineLevel="0" collapsed="false">
      <c r="B199" s="33"/>
      <c r="C199" s="29"/>
    </row>
    <row r="200" customFormat="false" ht="18.75" hidden="false" customHeight="true" outlineLevel="0" collapsed="false">
      <c r="B200" s="33"/>
      <c r="C200" s="29"/>
    </row>
    <row r="201" customFormat="false" ht="18.75" hidden="false" customHeight="true" outlineLevel="0" collapsed="false">
      <c r="B201" s="33"/>
      <c r="C201" s="29"/>
    </row>
    <row r="202" customFormat="false" ht="18.75" hidden="false" customHeight="true" outlineLevel="0" collapsed="false">
      <c r="B202" s="33"/>
      <c r="C202" s="29"/>
    </row>
    <row r="203" customFormat="false" ht="18.75" hidden="false" customHeight="true" outlineLevel="0" collapsed="false">
      <c r="B203" s="33"/>
      <c r="C203" s="29"/>
    </row>
    <row r="204" customFormat="false" ht="18.75" hidden="false" customHeight="true" outlineLevel="0" collapsed="false">
      <c r="B204" s="33"/>
      <c r="C204" s="29"/>
    </row>
    <row r="205" customFormat="false" ht="18.75" hidden="false" customHeight="true" outlineLevel="0" collapsed="false">
      <c r="B205" s="33"/>
      <c r="C205" s="29"/>
    </row>
    <row r="206" customFormat="false" ht="18.75" hidden="false" customHeight="true" outlineLevel="0" collapsed="false">
      <c r="B206" s="33"/>
      <c r="C206" s="29"/>
    </row>
    <row r="207" customFormat="false" ht="18.75" hidden="false" customHeight="true" outlineLevel="0" collapsed="false">
      <c r="B207" s="33"/>
      <c r="C207" s="29"/>
    </row>
    <row r="208" customFormat="false" ht="18.75" hidden="false" customHeight="true" outlineLevel="0" collapsed="false">
      <c r="B208" s="33"/>
      <c r="C208" s="29"/>
    </row>
    <row r="209" customFormat="false" ht="18.75" hidden="false" customHeight="true" outlineLevel="0" collapsed="false">
      <c r="B209" s="33"/>
      <c r="C209" s="29"/>
    </row>
    <row r="210" customFormat="false" ht="18.75" hidden="false" customHeight="true" outlineLevel="0" collapsed="false">
      <c r="B210" s="33"/>
      <c r="C210" s="29"/>
    </row>
    <row r="211" customFormat="false" ht="18.75" hidden="false" customHeight="true" outlineLevel="0" collapsed="false">
      <c r="B211" s="33"/>
      <c r="C211" s="29"/>
    </row>
    <row r="212" customFormat="false" ht="18.75" hidden="false" customHeight="true" outlineLevel="0" collapsed="false">
      <c r="B212" s="33"/>
      <c r="C212" s="29"/>
    </row>
    <row r="213" customFormat="false" ht="18.75" hidden="false" customHeight="true" outlineLevel="0" collapsed="false">
      <c r="B213" s="33"/>
      <c r="C213" s="29"/>
    </row>
    <row r="214" customFormat="false" ht="18.75" hidden="false" customHeight="true" outlineLevel="0" collapsed="false">
      <c r="B214" s="33"/>
      <c r="C214" s="29"/>
    </row>
    <row r="215" customFormat="false" ht="18.75" hidden="false" customHeight="true" outlineLevel="0" collapsed="false">
      <c r="B215" s="33"/>
      <c r="C215" s="29"/>
    </row>
    <row r="216" customFormat="false" ht="18.75" hidden="false" customHeight="true" outlineLevel="0" collapsed="false">
      <c r="B216" s="33"/>
      <c r="C216" s="29"/>
    </row>
    <row r="217" customFormat="false" ht="18.75" hidden="false" customHeight="true" outlineLevel="0" collapsed="false">
      <c r="B217" s="33"/>
      <c r="C217" s="29"/>
    </row>
    <row r="218" customFormat="false" ht="18.75" hidden="false" customHeight="true" outlineLevel="0" collapsed="false">
      <c r="B218" s="33"/>
      <c r="C218" s="29"/>
    </row>
    <row r="219" customFormat="false" ht="18.75" hidden="false" customHeight="true" outlineLevel="0" collapsed="false">
      <c r="B219" s="33"/>
      <c r="C219" s="29"/>
    </row>
    <row r="220" customFormat="false" ht="18.75" hidden="false" customHeight="true" outlineLevel="0" collapsed="false">
      <c r="B220" s="33"/>
      <c r="C220" s="29"/>
    </row>
    <row r="221" customFormat="false" ht="18.75" hidden="false" customHeight="true" outlineLevel="0" collapsed="false">
      <c r="B221" s="33"/>
      <c r="C221" s="29"/>
    </row>
    <row r="222" customFormat="false" ht="18.75" hidden="false" customHeight="true" outlineLevel="0" collapsed="false">
      <c r="B222" s="33"/>
      <c r="C222" s="29"/>
    </row>
    <row r="223" customFormat="false" ht="18.75" hidden="false" customHeight="true" outlineLevel="0" collapsed="false">
      <c r="B223" s="33"/>
      <c r="C223" s="29"/>
    </row>
    <row r="224" customFormat="false" ht="18.75" hidden="false" customHeight="true" outlineLevel="0" collapsed="false">
      <c r="B224" s="33"/>
      <c r="C224" s="29"/>
    </row>
    <row r="225" customFormat="false" ht="18.75" hidden="false" customHeight="true" outlineLevel="0" collapsed="false">
      <c r="B225" s="33"/>
      <c r="C225" s="29"/>
    </row>
    <row r="226" customFormat="false" ht="18.75" hidden="false" customHeight="true" outlineLevel="0" collapsed="false">
      <c r="B226" s="33"/>
      <c r="C226" s="29"/>
    </row>
    <row r="227" customFormat="false" ht="18.75" hidden="false" customHeight="true" outlineLevel="0" collapsed="false">
      <c r="B227" s="33"/>
      <c r="C227" s="29"/>
    </row>
    <row r="228" customFormat="false" ht="18.75" hidden="false" customHeight="true" outlineLevel="0" collapsed="false">
      <c r="B228" s="33"/>
      <c r="C228" s="29"/>
    </row>
    <row r="229" customFormat="false" ht="18.75" hidden="false" customHeight="true" outlineLevel="0" collapsed="false">
      <c r="B229" s="33"/>
      <c r="C229" s="29"/>
    </row>
    <row r="230" customFormat="false" ht="18.75" hidden="false" customHeight="true" outlineLevel="0" collapsed="false">
      <c r="B230" s="33"/>
      <c r="C230" s="29"/>
    </row>
    <row r="231" customFormat="false" ht="18.75" hidden="false" customHeight="true" outlineLevel="0" collapsed="false">
      <c r="B231" s="33"/>
      <c r="C231" s="29"/>
    </row>
    <row r="232" customFormat="false" ht="18.75" hidden="false" customHeight="true" outlineLevel="0" collapsed="false">
      <c r="B232" s="33"/>
      <c r="C232" s="29"/>
    </row>
    <row r="233" customFormat="false" ht="18.75" hidden="false" customHeight="true" outlineLevel="0" collapsed="false">
      <c r="B233" s="33"/>
      <c r="C233" s="29"/>
    </row>
    <row r="234" customFormat="false" ht="18.75" hidden="false" customHeight="true" outlineLevel="0" collapsed="false">
      <c r="B234" s="33"/>
      <c r="C234" s="29"/>
    </row>
    <row r="235" customFormat="false" ht="18.75" hidden="false" customHeight="true" outlineLevel="0" collapsed="false">
      <c r="B235" s="33"/>
      <c r="C235" s="29"/>
    </row>
    <row r="236" customFormat="false" ht="18.75" hidden="false" customHeight="true" outlineLevel="0" collapsed="false">
      <c r="B236" s="33"/>
      <c r="C236" s="29"/>
    </row>
    <row r="237" customFormat="false" ht="18.75" hidden="false" customHeight="true" outlineLevel="0" collapsed="false">
      <c r="B237" s="33"/>
      <c r="C237" s="29"/>
    </row>
    <row r="238" customFormat="false" ht="18.75" hidden="false" customHeight="true" outlineLevel="0" collapsed="false">
      <c r="B238" s="33"/>
      <c r="C238" s="29"/>
    </row>
    <row r="239" customFormat="false" ht="18.75" hidden="false" customHeight="true" outlineLevel="0" collapsed="false">
      <c r="B239" s="33"/>
      <c r="C239" s="29"/>
    </row>
    <row r="240" customFormat="false" ht="18.75" hidden="false" customHeight="true" outlineLevel="0" collapsed="false">
      <c r="B240" s="33"/>
      <c r="C240" s="29"/>
    </row>
    <row r="241" customFormat="false" ht="18.75" hidden="false" customHeight="true" outlineLevel="0" collapsed="false">
      <c r="B241" s="33"/>
      <c r="C241" s="29"/>
    </row>
    <row r="242" customFormat="false" ht="18.75" hidden="false" customHeight="true" outlineLevel="0" collapsed="false">
      <c r="B242" s="33"/>
      <c r="C242" s="29"/>
    </row>
    <row r="243" customFormat="false" ht="18.75" hidden="false" customHeight="true" outlineLevel="0" collapsed="false">
      <c r="B243" s="33"/>
      <c r="C243" s="29"/>
    </row>
    <row r="244" customFormat="false" ht="18.75" hidden="false" customHeight="true" outlineLevel="0" collapsed="false">
      <c r="B244" s="33"/>
      <c r="C244" s="29"/>
    </row>
    <row r="245" customFormat="false" ht="18.75" hidden="false" customHeight="true" outlineLevel="0" collapsed="false">
      <c r="B245" s="33"/>
      <c r="C245" s="29"/>
    </row>
    <row r="246" customFormat="false" ht="18.75" hidden="false" customHeight="true" outlineLevel="0" collapsed="false">
      <c r="B246" s="33"/>
      <c r="C246" s="29"/>
    </row>
    <row r="247" customFormat="false" ht="18.75" hidden="false" customHeight="true" outlineLevel="0" collapsed="false">
      <c r="B247" s="33"/>
      <c r="C247" s="29"/>
    </row>
    <row r="248" customFormat="false" ht="18.75" hidden="false" customHeight="true" outlineLevel="0" collapsed="false">
      <c r="B248" s="33"/>
      <c r="C248" s="29"/>
    </row>
    <row r="249" customFormat="false" ht="18.75" hidden="false" customHeight="true" outlineLevel="0" collapsed="false">
      <c r="B249" s="33"/>
      <c r="C249" s="29"/>
    </row>
    <row r="250" customFormat="false" ht="18.75" hidden="false" customHeight="true" outlineLevel="0" collapsed="false">
      <c r="B250" s="33"/>
      <c r="C250" s="29"/>
    </row>
    <row r="251" customFormat="false" ht="18.75" hidden="false" customHeight="true" outlineLevel="0" collapsed="false">
      <c r="B251" s="33"/>
      <c r="C251" s="29"/>
    </row>
    <row r="252" customFormat="false" ht="18.75" hidden="false" customHeight="true" outlineLevel="0" collapsed="false">
      <c r="B252" s="33"/>
      <c r="C252" s="29"/>
    </row>
    <row r="253" customFormat="false" ht="18.75" hidden="false" customHeight="true" outlineLevel="0" collapsed="false">
      <c r="B253" s="33"/>
      <c r="C253" s="29"/>
    </row>
    <row r="254" customFormat="false" ht="18.75" hidden="false" customHeight="true" outlineLevel="0" collapsed="false">
      <c r="B254" s="33"/>
      <c r="C254" s="29"/>
    </row>
    <row r="255" customFormat="false" ht="18.75" hidden="false" customHeight="true" outlineLevel="0" collapsed="false">
      <c r="B255" s="33"/>
      <c r="C255" s="29"/>
    </row>
    <row r="256" customFormat="false" ht="18.75" hidden="false" customHeight="true" outlineLevel="0" collapsed="false">
      <c r="B256" s="33"/>
      <c r="C256" s="29"/>
    </row>
    <row r="257" customFormat="false" ht="18.75" hidden="false" customHeight="true" outlineLevel="0" collapsed="false">
      <c r="B257" s="33"/>
      <c r="C257" s="29"/>
    </row>
    <row r="258" customFormat="false" ht="18.75" hidden="false" customHeight="true" outlineLevel="0" collapsed="false">
      <c r="B258" s="33"/>
      <c r="C258" s="29"/>
    </row>
    <row r="259" customFormat="false" ht="18.75" hidden="false" customHeight="true" outlineLevel="0" collapsed="false">
      <c r="B259" s="33"/>
      <c r="C259" s="29"/>
    </row>
    <row r="260" customFormat="false" ht="18.75" hidden="false" customHeight="true" outlineLevel="0" collapsed="false">
      <c r="B260" s="33"/>
      <c r="C260" s="29"/>
    </row>
    <row r="261" customFormat="false" ht="18.75" hidden="false" customHeight="true" outlineLevel="0" collapsed="false">
      <c r="B261" s="33"/>
      <c r="C261" s="29"/>
    </row>
    <row r="262" customFormat="false" ht="18.75" hidden="false" customHeight="true" outlineLevel="0" collapsed="false">
      <c r="B262" s="33"/>
      <c r="C262" s="29"/>
    </row>
    <row r="263" customFormat="false" ht="18.75" hidden="false" customHeight="true" outlineLevel="0" collapsed="false">
      <c r="B263" s="33"/>
      <c r="C263" s="29"/>
    </row>
    <row r="264" customFormat="false" ht="18.75" hidden="false" customHeight="true" outlineLevel="0" collapsed="false">
      <c r="B264" s="33"/>
      <c r="C264" s="29"/>
    </row>
    <row r="265" customFormat="false" ht="18.75" hidden="false" customHeight="true" outlineLevel="0" collapsed="false">
      <c r="B265" s="33"/>
      <c r="C265" s="29"/>
    </row>
    <row r="266" customFormat="false" ht="18.75" hidden="false" customHeight="true" outlineLevel="0" collapsed="false">
      <c r="B266" s="33"/>
      <c r="C266" s="29"/>
    </row>
    <row r="267" customFormat="false" ht="18.75" hidden="false" customHeight="true" outlineLevel="0" collapsed="false">
      <c r="B267" s="33"/>
      <c r="C267" s="29"/>
    </row>
    <row r="268" customFormat="false" ht="18.75" hidden="false" customHeight="true" outlineLevel="0" collapsed="false">
      <c r="B268" s="33"/>
      <c r="C268" s="29"/>
    </row>
    <row r="269" customFormat="false" ht="18.75" hidden="false" customHeight="true" outlineLevel="0" collapsed="false">
      <c r="B269" s="33"/>
      <c r="C269" s="29"/>
    </row>
    <row r="270" customFormat="false" ht="18.75" hidden="false" customHeight="true" outlineLevel="0" collapsed="false">
      <c r="B270" s="33"/>
      <c r="C270" s="29"/>
    </row>
    <row r="271" customFormat="false" ht="18.75" hidden="false" customHeight="true" outlineLevel="0" collapsed="false">
      <c r="B271" s="33"/>
      <c r="C271" s="29"/>
    </row>
    <row r="272" customFormat="false" ht="18.75" hidden="false" customHeight="true" outlineLevel="0" collapsed="false">
      <c r="B272" s="33"/>
      <c r="C272" s="29"/>
    </row>
    <row r="273" customFormat="false" ht="18.75" hidden="false" customHeight="true" outlineLevel="0" collapsed="false">
      <c r="B273" s="33"/>
      <c r="C273" s="29"/>
    </row>
    <row r="274" customFormat="false" ht="18.75" hidden="false" customHeight="true" outlineLevel="0" collapsed="false">
      <c r="B274" s="33"/>
      <c r="C274" s="29"/>
    </row>
    <row r="275" customFormat="false" ht="18.75" hidden="false" customHeight="true" outlineLevel="0" collapsed="false">
      <c r="B275" s="33"/>
      <c r="C275" s="29"/>
    </row>
    <row r="276" customFormat="false" ht="18.75" hidden="false" customHeight="true" outlineLevel="0" collapsed="false">
      <c r="B276" s="33"/>
      <c r="C276" s="29"/>
    </row>
    <row r="277" customFormat="false" ht="18.75" hidden="false" customHeight="true" outlineLevel="0" collapsed="false">
      <c r="B277" s="33"/>
      <c r="C277" s="29"/>
    </row>
    <row r="278" customFormat="false" ht="18.75" hidden="false" customHeight="true" outlineLevel="0" collapsed="false">
      <c r="B278" s="33"/>
      <c r="C278" s="29"/>
    </row>
    <row r="279" customFormat="false" ht="18.75" hidden="false" customHeight="true" outlineLevel="0" collapsed="false">
      <c r="B279" s="33"/>
      <c r="C279" s="29"/>
    </row>
    <row r="280" customFormat="false" ht="18.75" hidden="false" customHeight="true" outlineLevel="0" collapsed="false">
      <c r="B280" s="33"/>
      <c r="C280" s="29"/>
    </row>
    <row r="281" customFormat="false" ht="18.75" hidden="false" customHeight="true" outlineLevel="0" collapsed="false">
      <c r="B281" s="33"/>
      <c r="C281" s="29"/>
    </row>
    <row r="282" customFormat="false" ht="18.75" hidden="false" customHeight="true" outlineLevel="0" collapsed="false">
      <c r="B282" s="33"/>
      <c r="C282" s="29"/>
    </row>
    <row r="283" customFormat="false" ht="18.75" hidden="false" customHeight="true" outlineLevel="0" collapsed="false">
      <c r="B283" s="33"/>
      <c r="C283" s="29"/>
    </row>
    <row r="284" customFormat="false" ht="18.75" hidden="false" customHeight="true" outlineLevel="0" collapsed="false">
      <c r="B284" s="33"/>
      <c r="C284" s="29"/>
    </row>
    <row r="285" customFormat="false" ht="18.75" hidden="false" customHeight="true" outlineLevel="0" collapsed="false">
      <c r="B285" s="33"/>
      <c r="C285" s="29"/>
    </row>
    <row r="286" customFormat="false" ht="18.75" hidden="false" customHeight="true" outlineLevel="0" collapsed="false">
      <c r="B286" s="33"/>
      <c r="C286" s="29"/>
    </row>
    <row r="287" customFormat="false" ht="18.75" hidden="false" customHeight="true" outlineLevel="0" collapsed="false">
      <c r="B287" s="33"/>
      <c r="C287" s="29"/>
    </row>
    <row r="288" customFormat="false" ht="18.75" hidden="false" customHeight="true" outlineLevel="0" collapsed="false">
      <c r="B288" s="33"/>
      <c r="C288" s="29"/>
    </row>
    <row r="289" customFormat="false" ht="18.75" hidden="false" customHeight="true" outlineLevel="0" collapsed="false">
      <c r="B289" s="33"/>
      <c r="C289" s="29"/>
    </row>
    <row r="290" customFormat="false" ht="18.75" hidden="false" customHeight="true" outlineLevel="0" collapsed="false">
      <c r="B290" s="33"/>
      <c r="C290" s="29"/>
    </row>
    <row r="291" customFormat="false" ht="18.75" hidden="false" customHeight="true" outlineLevel="0" collapsed="false">
      <c r="B291" s="33"/>
      <c r="C291" s="29"/>
    </row>
    <row r="292" customFormat="false" ht="18.75" hidden="false" customHeight="true" outlineLevel="0" collapsed="false">
      <c r="B292" s="33"/>
      <c r="C292" s="29"/>
    </row>
    <row r="293" customFormat="false" ht="18.75" hidden="false" customHeight="true" outlineLevel="0" collapsed="false">
      <c r="B293" s="33"/>
      <c r="C293" s="29"/>
    </row>
    <row r="294" customFormat="false" ht="18.75" hidden="false" customHeight="true" outlineLevel="0" collapsed="false">
      <c r="B294" s="33"/>
      <c r="C294" s="29"/>
    </row>
    <row r="295" customFormat="false" ht="18.75" hidden="false" customHeight="true" outlineLevel="0" collapsed="false">
      <c r="B295" s="33"/>
      <c r="C295" s="29"/>
    </row>
    <row r="296" customFormat="false" ht="18.75" hidden="false" customHeight="true" outlineLevel="0" collapsed="false">
      <c r="B296" s="33"/>
      <c r="C296" s="29"/>
    </row>
    <row r="297" customFormat="false" ht="18.75" hidden="false" customHeight="true" outlineLevel="0" collapsed="false">
      <c r="B297" s="33"/>
      <c r="C297" s="29"/>
    </row>
    <row r="298" customFormat="false" ht="18.75" hidden="false" customHeight="true" outlineLevel="0" collapsed="false">
      <c r="B298" s="33"/>
      <c r="C298" s="29"/>
    </row>
    <row r="299" customFormat="false" ht="18.75" hidden="false" customHeight="true" outlineLevel="0" collapsed="false">
      <c r="B299" s="33"/>
      <c r="C299" s="29"/>
    </row>
    <row r="300" customFormat="false" ht="18.75" hidden="false" customHeight="true" outlineLevel="0" collapsed="false">
      <c r="B300" s="33"/>
      <c r="C300" s="29"/>
    </row>
    <row r="301" customFormat="false" ht="18.75" hidden="false" customHeight="true" outlineLevel="0" collapsed="false">
      <c r="B301" s="33"/>
      <c r="C301" s="29"/>
    </row>
    <row r="302" customFormat="false" ht="18.75" hidden="false" customHeight="true" outlineLevel="0" collapsed="false">
      <c r="B302" s="33"/>
      <c r="C302" s="29"/>
    </row>
    <row r="303" customFormat="false" ht="18.75" hidden="false" customHeight="true" outlineLevel="0" collapsed="false">
      <c r="B303" s="33"/>
      <c r="C303" s="29"/>
    </row>
    <row r="304" customFormat="false" ht="18.75" hidden="false" customHeight="true" outlineLevel="0" collapsed="false">
      <c r="B304" s="33"/>
      <c r="C304" s="29"/>
    </row>
    <row r="305" customFormat="false" ht="18.75" hidden="false" customHeight="true" outlineLevel="0" collapsed="false">
      <c r="B305" s="33"/>
      <c r="C305" s="29"/>
    </row>
    <row r="306" customFormat="false" ht="18.75" hidden="false" customHeight="true" outlineLevel="0" collapsed="false">
      <c r="B306" s="33"/>
      <c r="C306" s="29"/>
    </row>
    <row r="307" customFormat="false" ht="18.75" hidden="false" customHeight="true" outlineLevel="0" collapsed="false">
      <c r="B307" s="33"/>
      <c r="C307" s="29"/>
    </row>
    <row r="308" customFormat="false" ht="18.75" hidden="false" customHeight="true" outlineLevel="0" collapsed="false">
      <c r="B308" s="33"/>
      <c r="C308" s="29"/>
    </row>
    <row r="309" customFormat="false" ht="18.75" hidden="false" customHeight="true" outlineLevel="0" collapsed="false">
      <c r="B309" s="33"/>
      <c r="C309" s="29"/>
    </row>
    <row r="310" customFormat="false" ht="18.75" hidden="false" customHeight="true" outlineLevel="0" collapsed="false">
      <c r="B310" s="33"/>
      <c r="C310" s="29"/>
    </row>
    <row r="311" customFormat="false" ht="18.75" hidden="false" customHeight="true" outlineLevel="0" collapsed="false">
      <c r="B311" s="33"/>
      <c r="C311" s="29"/>
    </row>
    <row r="312" customFormat="false" ht="18.75" hidden="false" customHeight="true" outlineLevel="0" collapsed="false">
      <c r="B312" s="33"/>
      <c r="C312" s="29"/>
    </row>
    <row r="313" customFormat="false" ht="18.75" hidden="false" customHeight="true" outlineLevel="0" collapsed="false">
      <c r="B313" s="33"/>
      <c r="C313" s="29"/>
    </row>
    <row r="314" customFormat="false" ht="18.75" hidden="false" customHeight="true" outlineLevel="0" collapsed="false">
      <c r="B314" s="33"/>
      <c r="C314" s="29"/>
    </row>
    <row r="315" customFormat="false" ht="18.75" hidden="false" customHeight="true" outlineLevel="0" collapsed="false">
      <c r="B315" s="33"/>
      <c r="C315" s="29"/>
    </row>
    <row r="316" customFormat="false" ht="18.75" hidden="false" customHeight="true" outlineLevel="0" collapsed="false">
      <c r="B316" s="33"/>
      <c r="C316" s="29"/>
    </row>
    <row r="317" customFormat="false" ht="18.75" hidden="false" customHeight="true" outlineLevel="0" collapsed="false">
      <c r="B317" s="33"/>
      <c r="C317" s="29"/>
    </row>
    <row r="318" customFormat="false" ht="18.75" hidden="false" customHeight="true" outlineLevel="0" collapsed="false">
      <c r="B318" s="33"/>
      <c r="C318" s="29"/>
    </row>
    <row r="319" customFormat="false" ht="18.75" hidden="false" customHeight="true" outlineLevel="0" collapsed="false">
      <c r="B319" s="33"/>
      <c r="C319" s="29"/>
    </row>
    <row r="320" customFormat="false" ht="18.75" hidden="false" customHeight="true" outlineLevel="0" collapsed="false">
      <c r="B320" s="33"/>
      <c r="C320" s="29"/>
    </row>
    <row r="321" customFormat="false" ht="18.75" hidden="false" customHeight="true" outlineLevel="0" collapsed="false">
      <c r="B321" s="33"/>
      <c r="C321" s="29"/>
    </row>
    <row r="322" customFormat="false" ht="18.75" hidden="false" customHeight="true" outlineLevel="0" collapsed="false">
      <c r="B322" s="33"/>
      <c r="C322" s="29"/>
    </row>
    <row r="323" customFormat="false" ht="18.75" hidden="false" customHeight="true" outlineLevel="0" collapsed="false">
      <c r="B323" s="33"/>
      <c r="C323" s="29"/>
    </row>
    <row r="324" customFormat="false" ht="18.75" hidden="false" customHeight="true" outlineLevel="0" collapsed="false">
      <c r="B324" s="33"/>
      <c r="C324" s="29"/>
    </row>
    <row r="325" customFormat="false" ht="18.75" hidden="false" customHeight="true" outlineLevel="0" collapsed="false">
      <c r="B325" s="33"/>
      <c r="C325" s="29"/>
    </row>
    <row r="326" customFormat="false" ht="18.75" hidden="false" customHeight="true" outlineLevel="0" collapsed="false">
      <c r="B326" s="33"/>
      <c r="C326" s="29"/>
    </row>
    <row r="327" customFormat="false" ht="18.75" hidden="false" customHeight="true" outlineLevel="0" collapsed="false">
      <c r="B327" s="33"/>
      <c r="C327" s="29"/>
    </row>
    <row r="328" customFormat="false" ht="18.75" hidden="false" customHeight="true" outlineLevel="0" collapsed="false">
      <c r="B328" s="33"/>
      <c r="C328" s="29"/>
    </row>
    <row r="329" customFormat="false" ht="18.75" hidden="false" customHeight="true" outlineLevel="0" collapsed="false">
      <c r="B329" s="33"/>
      <c r="C329" s="29"/>
    </row>
    <row r="330" customFormat="false" ht="18.75" hidden="false" customHeight="true" outlineLevel="0" collapsed="false">
      <c r="B330" s="33"/>
      <c r="C330" s="29"/>
    </row>
    <row r="331" customFormat="false" ht="18.75" hidden="false" customHeight="true" outlineLevel="0" collapsed="false">
      <c r="B331" s="33"/>
      <c r="C331" s="29"/>
    </row>
    <row r="332" customFormat="false" ht="18.75" hidden="false" customHeight="true" outlineLevel="0" collapsed="false">
      <c r="B332" s="33"/>
      <c r="C332" s="29"/>
    </row>
    <row r="333" customFormat="false" ht="18.75" hidden="false" customHeight="true" outlineLevel="0" collapsed="false">
      <c r="B333" s="33"/>
      <c r="C333" s="29"/>
    </row>
    <row r="334" customFormat="false" ht="18.75" hidden="false" customHeight="true" outlineLevel="0" collapsed="false">
      <c r="B334" s="33"/>
      <c r="C334" s="29"/>
    </row>
    <row r="335" customFormat="false" ht="18.75" hidden="false" customHeight="true" outlineLevel="0" collapsed="false">
      <c r="B335" s="33"/>
      <c r="C335" s="29"/>
    </row>
    <row r="336" customFormat="false" ht="18.75" hidden="false" customHeight="true" outlineLevel="0" collapsed="false">
      <c r="B336" s="33"/>
      <c r="C336" s="29"/>
    </row>
    <row r="337" customFormat="false" ht="18.75" hidden="false" customHeight="true" outlineLevel="0" collapsed="false">
      <c r="B337" s="33"/>
      <c r="C337" s="29"/>
    </row>
    <row r="338" customFormat="false" ht="18.75" hidden="false" customHeight="true" outlineLevel="0" collapsed="false">
      <c r="B338" s="33"/>
      <c r="C338" s="29"/>
    </row>
    <row r="339" customFormat="false" ht="18.75" hidden="false" customHeight="true" outlineLevel="0" collapsed="false">
      <c r="B339" s="33"/>
      <c r="C339" s="29"/>
    </row>
    <row r="340" customFormat="false" ht="18.75" hidden="false" customHeight="true" outlineLevel="0" collapsed="false">
      <c r="B340" s="33"/>
      <c r="C340" s="29"/>
    </row>
    <row r="341" customFormat="false" ht="18.75" hidden="false" customHeight="true" outlineLevel="0" collapsed="false">
      <c r="B341" s="33"/>
      <c r="C341" s="29"/>
    </row>
    <row r="342" customFormat="false" ht="18.75" hidden="false" customHeight="true" outlineLevel="0" collapsed="false">
      <c r="B342" s="33"/>
      <c r="C342" s="29"/>
    </row>
    <row r="343" customFormat="false" ht="18.75" hidden="false" customHeight="true" outlineLevel="0" collapsed="false">
      <c r="B343" s="33"/>
      <c r="C343" s="29"/>
    </row>
    <row r="344" customFormat="false" ht="18.75" hidden="false" customHeight="true" outlineLevel="0" collapsed="false">
      <c r="B344" s="33"/>
      <c r="C344" s="29"/>
    </row>
    <row r="345" customFormat="false" ht="18.75" hidden="false" customHeight="true" outlineLevel="0" collapsed="false">
      <c r="B345" s="33"/>
      <c r="C345" s="29"/>
    </row>
    <row r="346" customFormat="false" ht="18.75" hidden="false" customHeight="true" outlineLevel="0" collapsed="false">
      <c r="B346" s="33"/>
      <c r="C346" s="29"/>
    </row>
    <row r="347" customFormat="false" ht="18.75" hidden="false" customHeight="true" outlineLevel="0" collapsed="false">
      <c r="B347" s="33"/>
      <c r="C347" s="29"/>
    </row>
    <row r="348" customFormat="false" ht="18.75" hidden="false" customHeight="true" outlineLevel="0" collapsed="false">
      <c r="B348" s="33"/>
      <c r="C348" s="29"/>
    </row>
    <row r="349" customFormat="false" ht="18.75" hidden="false" customHeight="true" outlineLevel="0" collapsed="false">
      <c r="B349" s="33"/>
      <c r="C349" s="29"/>
    </row>
    <row r="350" customFormat="false" ht="18.75" hidden="false" customHeight="true" outlineLevel="0" collapsed="false">
      <c r="B350" s="33"/>
      <c r="C350" s="29"/>
    </row>
    <row r="351" customFormat="false" ht="18.75" hidden="false" customHeight="true" outlineLevel="0" collapsed="false">
      <c r="B351" s="33"/>
      <c r="C351" s="29"/>
    </row>
    <row r="352" customFormat="false" ht="18.75" hidden="false" customHeight="true" outlineLevel="0" collapsed="false">
      <c r="B352" s="33"/>
      <c r="C352" s="29"/>
    </row>
    <row r="353" customFormat="false" ht="18.75" hidden="false" customHeight="true" outlineLevel="0" collapsed="false">
      <c r="B353" s="33"/>
      <c r="C353" s="29"/>
    </row>
    <row r="354" customFormat="false" ht="18.75" hidden="false" customHeight="true" outlineLevel="0" collapsed="false">
      <c r="B354" s="33"/>
      <c r="C354" s="29"/>
    </row>
    <row r="355" customFormat="false" ht="18.75" hidden="false" customHeight="true" outlineLevel="0" collapsed="false">
      <c r="B355" s="33"/>
      <c r="C355" s="29"/>
    </row>
    <row r="356" customFormat="false" ht="18.75" hidden="false" customHeight="true" outlineLevel="0" collapsed="false">
      <c r="B356" s="33"/>
      <c r="C356" s="29"/>
    </row>
    <row r="357" customFormat="false" ht="18.75" hidden="false" customHeight="true" outlineLevel="0" collapsed="false">
      <c r="B357" s="33"/>
      <c r="C357" s="29"/>
    </row>
    <row r="358" customFormat="false" ht="18.75" hidden="false" customHeight="true" outlineLevel="0" collapsed="false">
      <c r="B358" s="33"/>
      <c r="C358" s="29"/>
    </row>
    <row r="359" customFormat="false" ht="18.75" hidden="false" customHeight="true" outlineLevel="0" collapsed="false">
      <c r="B359" s="33"/>
      <c r="C359" s="29"/>
    </row>
    <row r="360" customFormat="false" ht="18.75" hidden="false" customHeight="true" outlineLevel="0" collapsed="false">
      <c r="B360" s="33"/>
      <c r="C360" s="29"/>
    </row>
    <row r="361" customFormat="false" ht="18.75" hidden="false" customHeight="true" outlineLevel="0" collapsed="false">
      <c r="B361" s="33"/>
      <c r="C361" s="29"/>
    </row>
    <row r="362" customFormat="false" ht="18.75" hidden="false" customHeight="true" outlineLevel="0" collapsed="false">
      <c r="B362" s="33"/>
      <c r="C362" s="29"/>
    </row>
    <row r="363" customFormat="false" ht="18.75" hidden="false" customHeight="true" outlineLevel="0" collapsed="false">
      <c r="B363" s="33"/>
      <c r="C363" s="29"/>
    </row>
    <row r="364" customFormat="false" ht="18.75" hidden="false" customHeight="true" outlineLevel="0" collapsed="false">
      <c r="B364" s="33"/>
      <c r="C364" s="29"/>
    </row>
    <row r="365" customFormat="false" ht="18.75" hidden="false" customHeight="true" outlineLevel="0" collapsed="false">
      <c r="B365" s="33"/>
      <c r="C365" s="29"/>
    </row>
    <row r="366" customFormat="false" ht="18.75" hidden="false" customHeight="true" outlineLevel="0" collapsed="false">
      <c r="B366" s="33"/>
      <c r="C366" s="29"/>
    </row>
    <row r="367" customFormat="false" ht="18.75" hidden="false" customHeight="true" outlineLevel="0" collapsed="false">
      <c r="B367" s="33"/>
      <c r="C367" s="29"/>
    </row>
    <row r="368" customFormat="false" ht="18.75" hidden="false" customHeight="true" outlineLevel="0" collapsed="false">
      <c r="B368" s="33"/>
      <c r="C368" s="29"/>
    </row>
    <row r="369" customFormat="false" ht="18.75" hidden="false" customHeight="true" outlineLevel="0" collapsed="false">
      <c r="B369" s="33"/>
      <c r="C369" s="29"/>
    </row>
    <row r="370" customFormat="false" ht="18.75" hidden="false" customHeight="true" outlineLevel="0" collapsed="false">
      <c r="B370" s="33"/>
      <c r="C370" s="29"/>
    </row>
    <row r="371" customFormat="false" ht="18.75" hidden="false" customHeight="true" outlineLevel="0" collapsed="false">
      <c r="B371" s="33"/>
      <c r="C371" s="29"/>
    </row>
    <row r="372" customFormat="false" ht="18.75" hidden="false" customHeight="true" outlineLevel="0" collapsed="false">
      <c r="B372" s="33"/>
      <c r="C372" s="29"/>
    </row>
    <row r="373" customFormat="false" ht="18.75" hidden="false" customHeight="true" outlineLevel="0" collapsed="false">
      <c r="B373" s="33"/>
      <c r="C373" s="29"/>
    </row>
    <row r="374" customFormat="false" ht="18.75" hidden="false" customHeight="true" outlineLevel="0" collapsed="false">
      <c r="B374" s="33"/>
      <c r="C374" s="29"/>
    </row>
    <row r="375" customFormat="false" ht="18.75" hidden="false" customHeight="true" outlineLevel="0" collapsed="false">
      <c r="B375" s="33"/>
      <c r="C375" s="29"/>
    </row>
    <row r="376" customFormat="false" ht="18.75" hidden="false" customHeight="true" outlineLevel="0" collapsed="false">
      <c r="B376" s="33"/>
      <c r="C376" s="29"/>
    </row>
    <row r="377" customFormat="false" ht="18.75" hidden="false" customHeight="true" outlineLevel="0" collapsed="false">
      <c r="B377" s="33"/>
      <c r="C377" s="29"/>
    </row>
    <row r="378" customFormat="false" ht="18.75" hidden="false" customHeight="true" outlineLevel="0" collapsed="false">
      <c r="B378" s="33"/>
      <c r="C378" s="29"/>
    </row>
    <row r="379" customFormat="false" ht="18.75" hidden="false" customHeight="true" outlineLevel="0" collapsed="false">
      <c r="B379" s="33"/>
      <c r="C379" s="29"/>
    </row>
    <row r="380" customFormat="false" ht="18.75" hidden="false" customHeight="true" outlineLevel="0" collapsed="false">
      <c r="B380" s="33"/>
      <c r="C380" s="29"/>
    </row>
    <row r="381" customFormat="false" ht="18.75" hidden="false" customHeight="true" outlineLevel="0" collapsed="false">
      <c r="B381" s="33"/>
      <c r="C381" s="29"/>
    </row>
    <row r="382" customFormat="false" ht="18.75" hidden="false" customHeight="true" outlineLevel="0" collapsed="false">
      <c r="B382" s="33"/>
      <c r="C382" s="29"/>
    </row>
    <row r="383" customFormat="false" ht="18.75" hidden="false" customHeight="true" outlineLevel="0" collapsed="false">
      <c r="B383" s="33"/>
      <c r="C383" s="29"/>
    </row>
    <row r="384" customFormat="false" ht="18.75" hidden="false" customHeight="true" outlineLevel="0" collapsed="false">
      <c r="B384" s="33"/>
      <c r="C384" s="29"/>
    </row>
    <row r="385" customFormat="false" ht="18.75" hidden="false" customHeight="true" outlineLevel="0" collapsed="false">
      <c r="B385" s="33"/>
      <c r="C385" s="29"/>
    </row>
    <row r="386" customFormat="false" ht="18.75" hidden="false" customHeight="true" outlineLevel="0" collapsed="false">
      <c r="B386" s="33"/>
      <c r="C386" s="29"/>
    </row>
    <row r="387" customFormat="false" ht="18.75" hidden="false" customHeight="true" outlineLevel="0" collapsed="false">
      <c r="B387" s="33"/>
      <c r="C387" s="29"/>
    </row>
    <row r="388" customFormat="false" ht="18.75" hidden="false" customHeight="true" outlineLevel="0" collapsed="false">
      <c r="B388" s="33"/>
      <c r="C388" s="29"/>
    </row>
    <row r="389" customFormat="false" ht="18.75" hidden="false" customHeight="true" outlineLevel="0" collapsed="false">
      <c r="B389" s="33"/>
      <c r="C389" s="29"/>
    </row>
    <row r="390" customFormat="false" ht="18.75" hidden="false" customHeight="true" outlineLevel="0" collapsed="false">
      <c r="B390" s="33"/>
      <c r="C390" s="29"/>
    </row>
    <row r="391" customFormat="false" ht="18.75" hidden="false" customHeight="true" outlineLevel="0" collapsed="false">
      <c r="B391" s="33"/>
      <c r="C391" s="29"/>
    </row>
    <row r="392" customFormat="false" ht="18.75" hidden="false" customHeight="true" outlineLevel="0" collapsed="false">
      <c r="B392" s="33"/>
      <c r="C392" s="29"/>
    </row>
    <row r="393" customFormat="false" ht="18.75" hidden="false" customHeight="true" outlineLevel="0" collapsed="false">
      <c r="B393" s="33"/>
      <c r="C393" s="29"/>
    </row>
    <row r="394" customFormat="false" ht="18.75" hidden="false" customHeight="true" outlineLevel="0" collapsed="false">
      <c r="B394" s="33"/>
      <c r="C394" s="29"/>
    </row>
    <row r="395" customFormat="false" ht="18.75" hidden="false" customHeight="true" outlineLevel="0" collapsed="false">
      <c r="B395" s="33"/>
      <c r="C395" s="29"/>
    </row>
    <row r="396" customFormat="false" ht="18.75" hidden="false" customHeight="true" outlineLevel="0" collapsed="false">
      <c r="B396" s="33"/>
      <c r="C396" s="29"/>
    </row>
    <row r="397" customFormat="false" ht="18.75" hidden="false" customHeight="true" outlineLevel="0" collapsed="false">
      <c r="B397" s="33"/>
      <c r="C397" s="29"/>
    </row>
    <row r="398" customFormat="false" ht="18.75" hidden="false" customHeight="true" outlineLevel="0" collapsed="false">
      <c r="B398" s="33"/>
      <c r="C398" s="29"/>
    </row>
    <row r="399" customFormat="false" ht="18.75" hidden="false" customHeight="true" outlineLevel="0" collapsed="false">
      <c r="B399" s="33"/>
      <c r="C399" s="29"/>
    </row>
    <row r="400" customFormat="false" ht="18.75" hidden="false" customHeight="true" outlineLevel="0" collapsed="false">
      <c r="B400" s="33"/>
      <c r="C400" s="29"/>
    </row>
    <row r="401" customFormat="false" ht="18.75" hidden="false" customHeight="true" outlineLevel="0" collapsed="false">
      <c r="B401" s="33"/>
      <c r="C401" s="29"/>
    </row>
    <row r="402" customFormat="false" ht="18.75" hidden="false" customHeight="true" outlineLevel="0" collapsed="false">
      <c r="B402" s="33"/>
      <c r="C402" s="29"/>
    </row>
    <row r="403" customFormat="false" ht="18.75" hidden="false" customHeight="true" outlineLevel="0" collapsed="false">
      <c r="B403" s="33"/>
      <c r="C403" s="29"/>
    </row>
    <row r="404" customFormat="false" ht="18.75" hidden="false" customHeight="true" outlineLevel="0" collapsed="false">
      <c r="B404" s="33"/>
      <c r="C404" s="29"/>
    </row>
    <row r="405" customFormat="false" ht="18.75" hidden="false" customHeight="true" outlineLevel="0" collapsed="false">
      <c r="B405" s="33"/>
      <c r="C405" s="29"/>
    </row>
    <row r="406" customFormat="false" ht="18.75" hidden="false" customHeight="true" outlineLevel="0" collapsed="false">
      <c r="B406" s="33"/>
      <c r="C406" s="29"/>
    </row>
    <row r="407" customFormat="false" ht="18.75" hidden="false" customHeight="true" outlineLevel="0" collapsed="false">
      <c r="B407" s="33"/>
      <c r="C407" s="29"/>
    </row>
    <row r="408" customFormat="false" ht="18.75" hidden="false" customHeight="true" outlineLevel="0" collapsed="false">
      <c r="B408" s="33"/>
      <c r="C408" s="29"/>
    </row>
    <row r="409" customFormat="false" ht="18.75" hidden="false" customHeight="true" outlineLevel="0" collapsed="false">
      <c r="B409" s="33"/>
      <c r="C409" s="29"/>
    </row>
    <row r="410" customFormat="false" ht="18.75" hidden="false" customHeight="true" outlineLevel="0" collapsed="false">
      <c r="B410" s="33"/>
      <c r="C410" s="29"/>
    </row>
    <row r="411" customFormat="false" ht="18.75" hidden="false" customHeight="true" outlineLevel="0" collapsed="false">
      <c r="B411" s="33"/>
      <c r="C411" s="29"/>
    </row>
    <row r="412" customFormat="false" ht="18.75" hidden="false" customHeight="true" outlineLevel="0" collapsed="false">
      <c r="B412" s="33"/>
      <c r="C412" s="29"/>
    </row>
    <row r="413" customFormat="false" ht="18.75" hidden="false" customHeight="true" outlineLevel="0" collapsed="false">
      <c r="B413" s="33"/>
      <c r="C413" s="29"/>
    </row>
    <row r="414" customFormat="false" ht="18.75" hidden="false" customHeight="true" outlineLevel="0" collapsed="false">
      <c r="B414" s="33"/>
      <c r="C414" s="29"/>
    </row>
    <row r="415" customFormat="false" ht="18.75" hidden="false" customHeight="true" outlineLevel="0" collapsed="false">
      <c r="B415" s="33"/>
      <c r="C415" s="29"/>
    </row>
    <row r="416" customFormat="false" ht="18.75" hidden="false" customHeight="true" outlineLevel="0" collapsed="false">
      <c r="B416" s="33"/>
      <c r="C416" s="29"/>
    </row>
    <row r="417" customFormat="false" ht="18.75" hidden="false" customHeight="true" outlineLevel="0" collapsed="false">
      <c r="B417" s="33"/>
      <c r="C417" s="29"/>
    </row>
    <row r="418" customFormat="false" ht="18.75" hidden="false" customHeight="true" outlineLevel="0" collapsed="false">
      <c r="B418" s="33"/>
      <c r="C418" s="29"/>
    </row>
    <row r="419" customFormat="false" ht="18.75" hidden="false" customHeight="true" outlineLevel="0" collapsed="false">
      <c r="B419" s="33"/>
      <c r="C419" s="29"/>
    </row>
    <row r="420" customFormat="false" ht="18.75" hidden="false" customHeight="true" outlineLevel="0" collapsed="false">
      <c r="B420" s="33"/>
      <c r="C420" s="29"/>
    </row>
    <row r="421" customFormat="false" ht="18.75" hidden="false" customHeight="true" outlineLevel="0" collapsed="false">
      <c r="B421" s="33"/>
      <c r="C421" s="29"/>
    </row>
    <row r="422" customFormat="false" ht="18.75" hidden="false" customHeight="true" outlineLevel="0" collapsed="false">
      <c r="B422" s="33"/>
      <c r="C422" s="29"/>
    </row>
    <row r="423" customFormat="false" ht="18.75" hidden="false" customHeight="true" outlineLevel="0" collapsed="false">
      <c r="B423" s="33"/>
      <c r="C423" s="29"/>
    </row>
    <row r="424" customFormat="false" ht="18.75" hidden="false" customHeight="true" outlineLevel="0" collapsed="false">
      <c r="B424" s="33"/>
      <c r="C424" s="29"/>
    </row>
    <row r="425" customFormat="false" ht="18.75" hidden="false" customHeight="true" outlineLevel="0" collapsed="false">
      <c r="B425" s="33"/>
      <c r="C425" s="29"/>
    </row>
    <row r="426" customFormat="false" ht="18.75" hidden="false" customHeight="true" outlineLevel="0" collapsed="false">
      <c r="B426" s="33"/>
      <c r="C426" s="29"/>
    </row>
    <row r="427" customFormat="false" ht="18.75" hidden="false" customHeight="true" outlineLevel="0" collapsed="false">
      <c r="B427" s="33"/>
      <c r="C427" s="29"/>
    </row>
    <row r="428" customFormat="false" ht="18.75" hidden="false" customHeight="true" outlineLevel="0" collapsed="false">
      <c r="B428" s="33"/>
      <c r="C428" s="29"/>
    </row>
    <row r="429" customFormat="false" ht="18.75" hidden="false" customHeight="true" outlineLevel="0" collapsed="false">
      <c r="B429" s="33"/>
      <c r="C429" s="29"/>
    </row>
    <row r="430" customFormat="false" ht="18.75" hidden="false" customHeight="true" outlineLevel="0" collapsed="false">
      <c r="B430" s="33"/>
      <c r="C430" s="29"/>
    </row>
    <row r="431" customFormat="false" ht="18.75" hidden="false" customHeight="true" outlineLevel="0" collapsed="false">
      <c r="B431" s="33"/>
      <c r="C431" s="29"/>
    </row>
    <row r="432" customFormat="false" ht="18.75" hidden="false" customHeight="true" outlineLevel="0" collapsed="false">
      <c r="B432" s="33"/>
      <c r="C432" s="29"/>
    </row>
    <row r="433" customFormat="false" ht="18.75" hidden="false" customHeight="true" outlineLevel="0" collapsed="false">
      <c r="B433" s="33"/>
      <c r="C433" s="29"/>
    </row>
    <row r="434" customFormat="false" ht="18.75" hidden="false" customHeight="true" outlineLevel="0" collapsed="false">
      <c r="B434" s="33"/>
      <c r="C434" s="29"/>
    </row>
    <row r="435" customFormat="false" ht="18.75" hidden="false" customHeight="true" outlineLevel="0" collapsed="false">
      <c r="B435" s="33"/>
      <c r="C435" s="29"/>
    </row>
    <row r="436" customFormat="false" ht="18.75" hidden="false" customHeight="true" outlineLevel="0" collapsed="false">
      <c r="B436" s="33"/>
      <c r="C436" s="29"/>
    </row>
    <row r="437" customFormat="false" ht="18.75" hidden="false" customHeight="true" outlineLevel="0" collapsed="false">
      <c r="B437" s="33"/>
      <c r="C437" s="29"/>
    </row>
    <row r="438" customFormat="false" ht="18.75" hidden="false" customHeight="true" outlineLevel="0" collapsed="false">
      <c r="B438" s="33"/>
      <c r="C438" s="29"/>
    </row>
    <row r="439" customFormat="false" ht="18.75" hidden="false" customHeight="true" outlineLevel="0" collapsed="false">
      <c r="B439" s="33"/>
      <c r="C439" s="29"/>
    </row>
    <row r="440" customFormat="false" ht="18.75" hidden="false" customHeight="true" outlineLevel="0" collapsed="false">
      <c r="B440" s="33"/>
      <c r="C440" s="29"/>
    </row>
    <row r="441" customFormat="false" ht="18.75" hidden="false" customHeight="true" outlineLevel="0" collapsed="false">
      <c r="B441" s="33"/>
      <c r="C441" s="29"/>
    </row>
    <row r="442" customFormat="false" ht="18.75" hidden="false" customHeight="true" outlineLevel="0" collapsed="false">
      <c r="B442" s="33"/>
      <c r="C442" s="29"/>
    </row>
    <row r="443" customFormat="false" ht="18.75" hidden="false" customHeight="true" outlineLevel="0" collapsed="false">
      <c r="B443" s="33"/>
      <c r="C443" s="29"/>
    </row>
    <row r="444" customFormat="false" ht="18.75" hidden="false" customHeight="true" outlineLevel="0" collapsed="false">
      <c r="B444" s="33"/>
      <c r="C444" s="29"/>
    </row>
    <row r="445" customFormat="false" ht="18.75" hidden="false" customHeight="true" outlineLevel="0" collapsed="false">
      <c r="B445" s="33"/>
      <c r="C445" s="29"/>
    </row>
    <row r="446" customFormat="false" ht="18.75" hidden="false" customHeight="true" outlineLevel="0" collapsed="false">
      <c r="B446" s="33"/>
      <c r="C446" s="29"/>
    </row>
    <row r="447" customFormat="false" ht="18.75" hidden="false" customHeight="true" outlineLevel="0" collapsed="false">
      <c r="B447" s="33"/>
      <c r="C447" s="29"/>
    </row>
    <row r="448" customFormat="false" ht="18.75" hidden="false" customHeight="true" outlineLevel="0" collapsed="false">
      <c r="B448" s="33"/>
      <c r="C448" s="29"/>
    </row>
    <row r="449" customFormat="false" ht="18.75" hidden="false" customHeight="true" outlineLevel="0" collapsed="false">
      <c r="B449" s="33"/>
      <c r="C449" s="29"/>
    </row>
    <row r="450" customFormat="false" ht="18.75" hidden="false" customHeight="true" outlineLevel="0" collapsed="false">
      <c r="B450" s="33"/>
      <c r="C450" s="29"/>
    </row>
    <row r="451" customFormat="false" ht="18.75" hidden="false" customHeight="true" outlineLevel="0" collapsed="false">
      <c r="B451" s="33"/>
      <c r="C451" s="29"/>
    </row>
    <row r="452" customFormat="false" ht="18.75" hidden="false" customHeight="true" outlineLevel="0" collapsed="false">
      <c r="B452" s="33"/>
      <c r="C452" s="29"/>
    </row>
    <row r="453" customFormat="false" ht="18.75" hidden="false" customHeight="true" outlineLevel="0" collapsed="false">
      <c r="B453" s="33"/>
      <c r="C453" s="29"/>
    </row>
    <row r="454" customFormat="false" ht="18.75" hidden="false" customHeight="true" outlineLevel="0" collapsed="false">
      <c r="B454" s="33"/>
      <c r="C454" s="29"/>
    </row>
    <row r="455" customFormat="false" ht="18.75" hidden="false" customHeight="true" outlineLevel="0" collapsed="false">
      <c r="B455" s="33"/>
      <c r="C455" s="29"/>
    </row>
    <row r="456" customFormat="false" ht="18.75" hidden="false" customHeight="true" outlineLevel="0" collapsed="false">
      <c r="B456" s="33"/>
      <c r="C456" s="29"/>
    </row>
    <row r="457" customFormat="false" ht="18.75" hidden="false" customHeight="true" outlineLevel="0" collapsed="false">
      <c r="B457" s="33"/>
      <c r="C457" s="29"/>
    </row>
    <row r="458" customFormat="false" ht="18.75" hidden="false" customHeight="true" outlineLevel="0" collapsed="false">
      <c r="B458" s="33"/>
      <c r="C458" s="29"/>
    </row>
    <row r="459" customFormat="false" ht="18.75" hidden="false" customHeight="true" outlineLevel="0" collapsed="false">
      <c r="B459" s="33"/>
      <c r="C459" s="29"/>
    </row>
    <row r="460" customFormat="false" ht="18.75" hidden="false" customHeight="true" outlineLevel="0" collapsed="false">
      <c r="B460" s="33"/>
      <c r="C460" s="29"/>
    </row>
    <row r="461" customFormat="false" ht="18.75" hidden="false" customHeight="true" outlineLevel="0" collapsed="false">
      <c r="B461" s="33"/>
      <c r="C461" s="29"/>
    </row>
    <row r="462" customFormat="false" ht="18.75" hidden="false" customHeight="true" outlineLevel="0" collapsed="false">
      <c r="B462" s="33"/>
      <c r="C462" s="29"/>
    </row>
    <row r="463" customFormat="false" ht="18.75" hidden="false" customHeight="true" outlineLevel="0" collapsed="false">
      <c r="B463" s="33"/>
      <c r="C463" s="29"/>
    </row>
    <row r="464" customFormat="false" ht="18.75" hidden="false" customHeight="true" outlineLevel="0" collapsed="false">
      <c r="B464" s="33"/>
      <c r="C464" s="29"/>
    </row>
    <row r="465" customFormat="false" ht="18.75" hidden="false" customHeight="true" outlineLevel="0" collapsed="false">
      <c r="B465" s="33"/>
      <c r="C465" s="29"/>
    </row>
    <row r="466" customFormat="false" ht="18.75" hidden="false" customHeight="true" outlineLevel="0" collapsed="false">
      <c r="B466" s="33"/>
      <c r="C466" s="29"/>
    </row>
    <row r="467" customFormat="false" ht="18.75" hidden="false" customHeight="true" outlineLevel="0" collapsed="false">
      <c r="B467" s="33"/>
      <c r="C467" s="29"/>
    </row>
    <row r="468" customFormat="false" ht="18.75" hidden="false" customHeight="true" outlineLevel="0" collapsed="false">
      <c r="B468" s="33"/>
      <c r="C468" s="29"/>
    </row>
    <row r="469" customFormat="false" ht="18.75" hidden="false" customHeight="true" outlineLevel="0" collapsed="false">
      <c r="B469" s="33"/>
      <c r="C469" s="29"/>
    </row>
    <row r="470" customFormat="false" ht="18.75" hidden="false" customHeight="true" outlineLevel="0" collapsed="false">
      <c r="B470" s="33"/>
      <c r="C470" s="29"/>
    </row>
    <row r="471" customFormat="false" ht="18.75" hidden="false" customHeight="true" outlineLevel="0" collapsed="false">
      <c r="B471" s="33"/>
      <c r="C471" s="29"/>
    </row>
    <row r="472" customFormat="false" ht="18.75" hidden="false" customHeight="true" outlineLevel="0" collapsed="false">
      <c r="B472" s="33"/>
      <c r="C472" s="29"/>
    </row>
    <row r="473" customFormat="false" ht="18.75" hidden="false" customHeight="true" outlineLevel="0" collapsed="false">
      <c r="B473" s="33"/>
      <c r="C473" s="29"/>
    </row>
    <row r="474" customFormat="false" ht="18.75" hidden="false" customHeight="true" outlineLevel="0" collapsed="false">
      <c r="B474" s="33"/>
      <c r="C474" s="29"/>
    </row>
    <row r="475" customFormat="false" ht="18.75" hidden="false" customHeight="true" outlineLevel="0" collapsed="false">
      <c r="B475" s="33"/>
      <c r="C475" s="29"/>
    </row>
    <row r="476" customFormat="false" ht="18.75" hidden="false" customHeight="true" outlineLevel="0" collapsed="false">
      <c r="B476" s="33"/>
      <c r="C476" s="29"/>
    </row>
    <row r="477" customFormat="false" ht="18.75" hidden="false" customHeight="true" outlineLevel="0" collapsed="false">
      <c r="B477" s="33"/>
      <c r="C477" s="29"/>
    </row>
    <row r="478" customFormat="false" ht="18.75" hidden="false" customHeight="true" outlineLevel="0" collapsed="false">
      <c r="B478" s="33"/>
      <c r="C478" s="29"/>
    </row>
    <row r="479" customFormat="false" ht="18.75" hidden="false" customHeight="true" outlineLevel="0" collapsed="false">
      <c r="B479" s="33"/>
      <c r="C479" s="29"/>
    </row>
    <row r="480" customFormat="false" ht="18.75" hidden="false" customHeight="true" outlineLevel="0" collapsed="false">
      <c r="B480" s="33"/>
      <c r="C480" s="29"/>
    </row>
    <row r="481" customFormat="false" ht="18.75" hidden="false" customHeight="true" outlineLevel="0" collapsed="false">
      <c r="B481" s="33"/>
      <c r="C481" s="29"/>
    </row>
    <row r="482" customFormat="false" ht="18.75" hidden="false" customHeight="true" outlineLevel="0" collapsed="false">
      <c r="B482" s="33"/>
      <c r="C482" s="29"/>
    </row>
    <row r="483" customFormat="false" ht="18.75" hidden="false" customHeight="true" outlineLevel="0" collapsed="false">
      <c r="B483" s="33"/>
      <c r="C483" s="29"/>
    </row>
    <row r="484" customFormat="false" ht="18.75" hidden="false" customHeight="true" outlineLevel="0" collapsed="false">
      <c r="B484" s="33"/>
      <c r="C484" s="29"/>
    </row>
    <row r="485" customFormat="false" ht="18.75" hidden="false" customHeight="true" outlineLevel="0" collapsed="false">
      <c r="B485" s="33"/>
      <c r="C485" s="29"/>
    </row>
    <row r="486" customFormat="false" ht="18.75" hidden="false" customHeight="true" outlineLevel="0" collapsed="false">
      <c r="B486" s="33"/>
      <c r="C486" s="29"/>
    </row>
    <row r="487" customFormat="false" ht="18.75" hidden="false" customHeight="true" outlineLevel="0" collapsed="false">
      <c r="B487" s="33"/>
      <c r="C487" s="29"/>
    </row>
    <row r="488" customFormat="false" ht="18.75" hidden="false" customHeight="true" outlineLevel="0" collapsed="false">
      <c r="B488" s="33"/>
      <c r="C488" s="29"/>
    </row>
    <row r="489" customFormat="false" ht="18.75" hidden="false" customHeight="true" outlineLevel="0" collapsed="false">
      <c r="B489" s="33"/>
      <c r="C489" s="29"/>
    </row>
    <row r="490" customFormat="false" ht="18.75" hidden="false" customHeight="true" outlineLevel="0" collapsed="false">
      <c r="B490" s="33"/>
      <c r="C490" s="29"/>
    </row>
    <row r="491" customFormat="false" ht="18.75" hidden="false" customHeight="true" outlineLevel="0" collapsed="false">
      <c r="B491" s="33"/>
      <c r="C491" s="29"/>
    </row>
    <row r="492" customFormat="false" ht="18.75" hidden="false" customHeight="true" outlineLevel="0" collapsed="false">
      <c r="B492" s="33"/>
      <c r="C492" s="29"/>
    </row>
    <row r="493" customFormat="false" ht="18.75" hidden="false" customHeight="true" outlineLevel="0" collapsed="false">
      <c r="B493" s="33"/>
      <c r="C493" s="29"/>
    </row>
    <row r="494" customFormat="false" ht="18.75" hidden="false" customHeight="true" outlineLevel="0" collapsed="false">
      <c r="B494" s="33"/>
      <c r="C494" s="29"/>
    </row>
    <row r="495" customFormat="false" ht="18.75" hidden="false" customHeight="true" outlineLevel="0" collapsed="false">
      <c r="B495" s="33"/>
      <c r="C495" s="29"/>
    </row>
    <row r="496" customFormat="false" ht="18.75" hidden="false" customHeight="true" outlineLevel="0" collapsed="false">
      <c r="B496" s="33"/>
      <c r="C496" s="29"/>
    </row>
    <row r="497" customFormat="false" ht="18.75" hidden="false" customHeight="true" outlineLevel="0" collapsed="false">
      <c r="B497" s="33"/>
      <c r="C497" s="29"/>
    </row>
    <row r="498" customFormat="false" ht="18.75" hidden="false" customHeight="true" outlineLevel="0" collapsed="false">
      <c r="B498" s="33"/>
      <c r="C498" s="29"/>
    </row>
    <row r="499" customFormat="false" ht="18.75" hidden="false" customHeight="true" outlineLevel="0" collapsed="false">
      <c r="B499" s="33"/>
      <c r="C499" s="29"/>
    </row>
    <row r="500" customFormat="false" ht="18.75" hidden="false" customHeight="true" outlineLevel="0" collapsed="false">
      <c r="B500" s="33"/>
      <c r="C500" s="29"/>
    </row>
    <row r="501" customFormat="false" ht="18.75" hidden="false" customHeight="true" outlineLevel="0" collapsed="false">
      <c r="B501" s="33"/>
      <c r="C501" s="29"/>
    </row>
    <row r="502" customFormat="false" ht="18.75" hidden="false" customHeight="true" outlineLevel="0" collapsed="false">
      <c r="B502" s="33"/>
      <c r="C502" s="29"/>
    </row>
    <row r="503" customFormat="false" ht="18.75" hidden="false" customHeight="true" outlineLevel="0" collapsed="false">
      <c r="B503" s="33"/>
      <c r="C503" s="29"/>
    </row>
    <row r="504" customFormat="false" ht="18.75" hidden="false" customHeight="true" outlineLevel="0" collapsed="false">
      <c r="B504" s="33"/>
      <c r="C504" s="29"/>
    </row>
    <row r="505" customFormat="false" ht="18.75" hidden="false" customHeight="true" outlineLevel="0" collapsed="false">
      <c r="B505" s="33"/>
      <c r="C505" s="29"/>
    </row>
    <row r="506" customFormat="false" ht="18.75" hidden="false" customHeight="true" outlineLevel="0" collapsed="false">
      <c r="B506" s="33"/>
      <c r="C506" s="29"/>
    </row>
    <row r="507" customFormat="false" ht="18.75" hidden="false" customHeight="true" outlineLevel="0" collapsed="false">
      <c r="B507" s="33"/>
      <c r="C507" s="29"/>
    </row>
    <row r="508" customFormat="false" ht="18.75" hidden="false" customHeight="true" outlineLevel="0" collapsed="false">
      <c r="B508" s="33"/>
      <c r="C508" s="29"/>
    </row>
    <row r="509" customFormat="false" ht="18.75" hidden="false" customHeight="true" outlineLevel="0" collapsed="false">
      <c r="B509" s="33"/>
      <c r="C509" s="29"/>
    </row>
    <row r="510" customFormat="false" ht="18.75" hidden="false" customHeight="true" outlineLevel="0" collapsed="false">
      <c r="B510" s="33"/>
      <c r="C510" s="29"/>
    </row>
    <row r="511" customFormat="false" ht="18.75" hidden="false" customHeight="true" outlineLevel="0" collapsed="false">
      <c r="B511" s="33"/>
      <c r="C511" s="29"/>
    </row>
    <row r="512" customFormat="false" ht="18.75" hidden="false" customHeight="true" outlineLevel="0" collapsed="false">
      <c r="B512" s="33"/>
      <c r="C512" s="29"/>
    </row>
    <row r="513" customFormat="false" ht="18.75" hidden="false" customHeight="true" outlineLevel="0" collapsed="false">
      <c r="B513" s="33"/>
      <c r="C513" s="29"/>
    </row>
    <row r="514" customFormat="false" ht="18.75" hidden="false" customHeight="true" outlineLevel="0" collapsed="false">
      <c r="B514" s="33"/>
      <c r="C514" s="29"/>
    </row>
    <row r="515" customFormat="false" ht="18.75" hidden="false" customHeight="true" outlineLevel="0" collapsed="false">
      <c r="B515" s="33"/>
      <c r="C515" s="29"/>
    </row>
    <row r="516" customFormat="false" ht="18.75" hidden="false" customHeight="true" outlineLevel="0" collapsed="false">
      <c r="B516" s="33"/>
      <c r="C516" s="29"/>
    </row>
    <row r="517" customFormat="false" ht="18.75" hidden="false" customHeight="true" outlineLevel="0" collapsed="false">
      <c r="B517" s="33"/>
      <c r="C517" s="29"/>
    </row>
    <row r="518" customFormat="false" ht="18.75" hidden="false" customHeight="true" outlineLevel="0" collapsed="false">
      <c r="B518" s="33"/>
      <c r="C518" s="29"/>
    </row>
    <row r="519" customFormat="false" ht="18.75" hidden="false" customHeight="true" outlineLevel="0" collapsed="false">
      <c r="B519" s="33"/>
      <c r="C519" s="29"/>
    </row>
    <row r="520" customFormat="false" ht="18.75" hidden="false" customHeight="true" outlineLevel="0" collapsed="false">
      <c r="B520" s="33"/>
      <c r="C520" s="29"/>
    </row>
    <row r="521" customFormat="false" ht="18.75" hidden="false" customHeight="true" outlineLevel="0" collapsed="false">
      <c r="B521" s="33"/>
      <c r="C521" s="29"/>
    </row>
    <row r="522" customFormat="false" ht="18.75" hidden="false" customHeight="true" outlineLevel="0" collapsed="false">
      <c r="B522" s="33"/>
      <c r="C522" s="29"/>
    </row>
    <row r="523" customFormat="false" ht="18.75" hidden="false" customHeight="true" outlineLevel="0" collapsed="false">
      <c r="B523" s="33"/>
      <c r="C523" s="29"/>
    </row>
    <row r="524" customFormat="false" ht="18.75" hidden="false" customHeight="true" outlineLevel="0" collapsed="false">
      <c r="B524" s="33"/>
      <c r="C524" s="29"/>
    </row>
    <row r="525" customFormat="false" ht="18.75" hidden="false" customHeight="true" outlineLevel="0" collapsed="false">
      <c r="B525" s="33"/>
      <c r="C525" s="29"/>
    </row>
    <row r="526" customFormat="false" ht="18.75" hidden="false" customHeight="true" outlineLevel="0" collapsed="false">
      <c r="B526" s="33"/>
      <c r="C526" s="29"/>
    </row>
    <row r="527" customFormat="false" ht="18.75" hidden="false" customHeight="true" outlineLevel="0" collapsed="false">
      <c r="B527" s="33"/>
      <c r="C527" s="29"/>
    </row>
    <row r="528" customFormat="false" ht="18.75" hidden="false" customHeight="true" outlineLevel="0" collapsed="false">
      <c r="B528" s="33"/>
      <c r="C528" s="29"/>
    </row>
    <row r="529" customFormat="false" ht="18.75" hidden="false" customHeight="true" outlineLevel="0" collapsed="false">
      <c r="B529" s="33"/>
      <c r="C529" s="29"/>
    </row>
    <row r="530" customFormat="false" ht="18.75" hidden="false" customHeight="true" outlineLevel="0" collapsed="false">
      <c r="B530" s="33"/>
      <c r="C530" s="29"/>
    </row>
    <row r="531" customFormat="false" ht="18.75" hidden="false" customHeight="true" outlineLevel="0" collapsed="false">
      <c r="B531" s="33"/>
      <c r="C531" s="29"/>
    </row>
    <row r="532" customFormat="false" ht="18.75" hidden="false" customHeight="true" outlineLevel="0" collapsed="false">
      <c r="B532" s="33"/>
      <c r="C532" s="29"/>
    </row>
    <row r="533" customFormat="false" ht="18.75" hidden="false" customHeight="true" outlineLevel="0" collapsed="false">
      <c r="B533" s="33"/>
      <c r="C533" s="29"/>
    </row>
    <row r="534" customFormat="false" ht="18.75" hidden="false" customHeight="true" outlineLevel="0" collapsed="false">
      <c r="B534" s="33"/>
      <c r="C534" s="29"/>
    </row>
    <row r="535" customFormat="false" ht="18.75" hidden="false" customHeight="true" outlineLevel="0" collapsed="false">
      <c r="B535" s="33"/>
      <c r="C535" s="29"/>
    </row>
    <row r="536" customFormat="false" ht="18.75" hidden="false" customHeight="true" outlineLevel="0" collapsed="false">
      <c r="B536" s="33"/>
      <c r="C536" s="29"/>
    </row>
    <row r="537" customFormat="false" ht="18.75" hidden="false" customHeight="true" outlineLevel="0" collapsed="false">
      <c r="B537" s="33"/>
      <c r="C537" s="29"/>
    </row>
    <row r="538" customFormat="false" ht="18.75" hidden="false" customHeight="true" outlineLevel="0" collapsed="false">
      <c r="B538" s="33"/>
      <c r="C538" s="29"/>
    </row>
    <row r="539" customFormat="false" ht="18.75" hidden="false" customHeight="true" outlineLevel="0" collapsed="false">
      <c r="B539" s="33"/>
      <c r="C539" s="29"/>
    </row>
    <row r="540" customFormat="false" ht="18.75" hidden="false" customHeight="true" outlineLevel="0" collapsed="false">
      <c r="B540" s="33"/>
      <c r="C540" s="29"/>
    </row>
    <row r="541" customFormat="false" ht="18.75" hidden="false" customHeight="true" outlineLevel="0" collapsed="false">
      <c r="B541" s="33"/>
      <c r="C541" s="29"/>
    </row>
    <row r="542" customFormat="false" ht="18.75" hidden="false" customHeight="true" outlineLevel="0" collapsed="false">
      <c r="B542" s="33"/>
      <c r="C542" s="29"/>
    </row>
    <row r="543" customFormat="false" ht="18.75" hidden="false" customHeight="true" outlineLevel="0" collapsed="false">
      <c r="B543" s="33"/>
      <c r="C543" s="29"/>
    </row>
    <row r="544" customFormat="false" ht="18.75" hidden="false" customHeight="true" outlineLevel="0" collapsed="false">
      <c r="B544" s="33"/>
      <c r="C544" s="29"/>
    </row>
    <row r="545" customFormat="false" ht="18.75" hidden="false" customHeight="true" outlineLevel="0" collapsed="false">
      <c r="B545" s="33"/>
      <c r="C545" s="29"/>
    </row>
    <row r="546" customFormat="false" ht="18.75" hidden="false" customHeight="true" outlineLevel="0" collapsed="false">
      <c r="B546" s="33"/>
      <c r="C546" s="29"/>
    </row>
    <row r="547" customFormat="false" ht="18.75" hidden="false" customHeight="true" outlineLevel="0" collapsed="false">
      <c r="B547" s="33"/>
      <c r="C547" s="29"/>
    </row>
    <row r="548" customFormat="false" ht="18.75" hidden="false" customHeight="true" outlineLevel="0" collapsed="false">
      <c r="B548" s="33"/>
      <c r="C548" s="29"/>
    </row>
    <row r="549" customFormat="false" ht="18.75" hidden="false" customHeight="true" outlineLevel="0" collapsed="false">
      <c r="B549" s="33"/>
      <c r="C549" s="29"/>
    </row>
    <row r="550" customFormat="false" ht="18.75" hidden="false" customHeight="true" outlineLevel="0" collapsed="false">
      <c r="B550" s="33"/>
      <c r="C550" s="29"/>
    </row>
    <row r="551" customFormat="false" ht="18.75" hidden="false" customHeight="true" outlineLevel="0" collapsed="false">
      <c r="B551" s="33"/>
      <c r="C551" s="29"/>
    </row>
    <row r="552" customFormat="false" ht="18.75" hidden="false" customHeight="true" outlineLevel="0" collapsed="false">
      <c r="B552" s="33"/>
      <c r="C552" s="29"/>
    </row>
    <row r="553" customFormat="false" ht="18.75" hidden="false" customHeight="true" outlineLevel="0" collapsed="false">
      <c r="B553" s="33"/>
      <c r="C553" s="29"/>
    </row>
    <row r="554" customFormat="false" ht="18.75" hidden="false" customHeight="true" outlineLevel="0" collapsed="false">
      <c r="B554" s="33"/>
      <c r="C554" s="29"/>
    </row>
    <row r="555" customFormat="false" ht="18.75" hidden="false" customHeight="true" outlineLevel="0" collapsed="false">
      <c r="B555" s="33"/>
      <c r="C555" s="29"/>
    </row>
    <row r="556" customFormat="false" ht="18.75" hidden="false" customHeight="true" outlineLevel="0" collapsed="false">
      <c r="B556" s="33"/>
      <c r="C556" s="29"/>
    </row>
    <row r="557" customFormat="false" ht="18.75" hidden="false" customHeight="true" outlineLevel="0" collapsed="false">
      <c r="B557" s="33"/>
      <c r="C557" s="29"/>
    </row>
    <row r="558" customFormat="false" ht="18.75" hidden="false" customHeight="true" outlineLevel="0" collapsed="false">
      <c r="B558" s="33"/>
      <c r="C558" s="29"/>
    </row>
    <row r="559" customFormat="false" ht="18.75" hidden="false" customHeight="true" outlineLevel="0" collapsed="false">
      <c r="B559" s="33"/>
      <c r="C559" s="29"/>
    </row>
    <row r="560" customFormat="false" ht="18.75" hidden="false" customHeight="true" outlineLevel="0" collapsed="false">
      <c r="B560" s="33"/>
      <c r="C560" s="29"/>
    </row>
    <row r="561" customFormat="false" ht="18.75" hidden="false" customHeight="true" outlineLevel="0" collapsed="false">
      <c r="B561" s="33"/>
      <c r="C561" s="29"/>
    </row>
    <row r="562" customFormat="false" ht="18.75" hidden="false" customHeight="true" outlineLevel="0" collapsed="false">
      <c r="B562" s="33"/>
      <c r="C562" s="29"/>
    </row>
    <row r="563" customFormat="false" ht="18.75" hidden="false" customHeight="true" outlineLevel="0" collapsed="false">
      <c r="B563" s="33"/>
      <c r="C563" s="29"/>
    </row>
    <row r="564" customFormat="false" ht="18.75" hidden="false" customHeight="true" outlineLevel="0" collapsed="false">
      <c r="B564" s="33"/>
      <c r="C564" s="29"/>
    </row>
    <row r="565" customFormat="false" ht="18.75" hidden="false" customHeight="true" outlineLevel="0" collapsed="false">
      <c r="B565" s="33"/>
      <c r="C565" s="29"/>
    </row>
    <row r="566" customFormat="false" ht="18.75" hidden="false" customHeight="true" outlineLevel="0" collapsed="false">
      <c r="B566" s="33"/>
      <c r="C566" s="29"/>
    </row>
    <row r="567" customFormat="false" ht="18.75" hidden="false" customHeight="true" outlineLevel="0" collapsed="false">
      <c r="B567" s="33"/>
      <c r="C567" s="29"/>
    </row>
    <row r="568" customFormat="false" ht="18.75" hidden="false" customHeight="true" outlineLevel="0" collapsed="false">
      <c r="B568" s="33"/>
      <c r="C568" s="29"/>
    </row>
    <row r="569" customFormat="false" ht="18.75" hidden="false" customHeight="true" outlineLevel="0" collapsed="false">
      <c r="B569" s="33"/>
      <c r="C569" s="29"/>
    </row>
    <row r="570" customFormat="false" ht="18.75" hidden="false" customHeight="true" outlineLevel="0" collapsed="false">
      <c r="B570" s="33"/>
      <c r="C570" s="29"/>
    </row>
    <row r="571" customFormat="false" ht="18.75" hidden="false" customHeight="true" outlineLevel="0" collapsed="false">
      <c r="B571" s="33"/>
      <c r="C571" s="29"/>
    </row>
    <row r="572" customFormat="false" ht="18.75" hidden="false" customHeight="true" outlineLevel="0" collapsed="false">
      <c r="B572" s="33"/>
      <c r="C572" s="29"/>
    </row>
    <row r="573" customFormat="false" ht="18.75" hidden="false" customHeight="true" outlineLevel="0" collapsed="false">
      <c r="B573" s="33"/>
      <c r="C573" s="29"/>
    </row>
    <row r="574" customFormat="false" ht="18.75" hidden="false" customHeight="true" outlineLevel="0" collapsed="false">
      <c r="B574" s="33"/>
      <c r="C574" s="29"/>
    </row>
    <row r="575" customFormat="false" ht="18.75" hidden="false" customHeight="true" outlineLevel="0" collapsed="false">
      <c r="B575" s="33"/>
      <c r="C575" s="29"/>
    </row>
    <row r="576" customFormat="false" ht="18.75" hidden="false" customHeight="true" outlineLevel="0" collapsed="false">
      <c r="B576" s="33"/>
      <c r="C576" s="29"/>
    </row>
    <row r="577" customFormat="false" ht="18.75" hidden="false" customHeight="true" outlineLevel="0" collapsed="false">
      <c r="B577" s="33"/>
      <c r="C577" s="29"/>
    </row>
    <row r="578" customFormat="false" ht="18.75" hidden="false" customHeight="true" outlineLevel="0" collapsed="false">
      <c r="B578" s="33"/>
      <c r="C578" s="29"/>
    </row>
    <row r="579" customFormat="false" ht="18.75" hidden="false" customHeight="true" outlineLevel="0" collapsed="false">
      <c r="B579" s="33"/>
      <c r="C579" s="29"/>
    </row>
    <row r="580" customFormat="false" ht="18.75" hidden="false" customHeight="true" outlineLevel="0" collapsed="false">
      <c r="B580" s="33"/>
      <c r="C580" s="29"/>
    </row>
    <row r="581" customFormat="false" ht="18.75" hidden="false" customHeight="true" outlineLevel="0" collapsed="false">
      <c r="B581" s="33"/>
      <c r="C581" s="29"/>
    </row>
    <row r="582" customFormat="false" ht="18.75" hidden="false" customHeight="true" outlineLevel="0" collapsed="false">
      <c r="B582" s="33"/>
      <c r="C582" s="29"/>
    </row>
    <row r="583" customFormat="false" ht="18.75" hidden="false" customHeight="true" outlineLevel="0" collapsed="false">
      <c r="B583" s="33"/>
      <c r="C583" s="29"/>
    </row>
    <row r="584" customFormat="false" ht="18.75" hidden="false" customHeight="true" outlineLevel="0" collapsed="false">
      <c r="B584" s="33"/>
      <c r="C584" s="29"/>
    </row>
    <row r="585" customFormat="false" ht="18.75" hidden="false" customHeight="true" outlineLevel="0" collapsed="false">
      <c r="B585" s="33"/>
      <c r="C585" s="29"/>
    </row>
    <row r="586" customFormat="false" ht="18.75" hidden="false" customHeight="true" outlineLevel="0" collapsed="false">
      <c r="B586" s="33"/>
      <c r="C586" s="29"/>
    </row>
    <row r="587" customFormat="false" ht="18.75" hidden="false" customHeight="true" outlineLevel="0" collapsed="false">
      <c r="B587" s="33"/>
      <c r="C587" s="29"/>
    </row>
    <row r="588" customFormat="false" ht="18.75" hidden="false" customHeight="true" outlineLevel="0" collapsed="false">
      <c r="B588" s="33"/>
      <c r="C588" s="29"/>
    </row>
    <row r="589" customFormat="false" ht="18.75" hidden="false" customHeight="true" outlineLevel="0" collapsed="false">
      <c r="B589" s="33"/>
      <c r="C589" s="29"/>
    </row>
    <row r="590" customFormat="false" ht="18.75" hidden="false" customHeight="true" outlineLevel="0" collapsed="false">
      <c r="B590" s="33"/>
      <c r="C590" s="29"/>
    </row>
    <row r="591" customFormat="false" ht="18.75" hidden="false" customHeight="true" outlineLevel="0" collapsed="false">
      <c r="B591" s="33"/>
      <c r="C591" s="29"/>
    </row>
    <row r="592" customFormat="false" ht="18.75" hidden="false" customHeight="true" outlineLevel="0" collapsed="false">
      <c r="B592" s="33"/>
      <c r="C592" s="29"/>
    </row>
    <row r="593" customFormat="false" ht="18.75" hidden="false" customHeight="true" outlineLevel="0" collapsed="false">
      <c r="B593" s="33"/>
      <c r="C593" s="29"/>
    </row>
    <row r="594" customFormat="false" ht="18.75" hidden="false" customHeight="true" outlineLevel="0" collapsed="false">
      <c r="B594" s="33"/>
      <c r="C594" s="29"/>
    </row>
    <row r="595" customFormat="false" ht="18.75" hidden="false" customHeight="true" outlineLevel="0" collapsed="false">
      <c r="B595" s="33"/>
      <c r="C595" s="29"/>
    </row>
    <row r="596" customFormat="false" ht="18.75" hidden="false" customHeight="true" outlineLevel="0" collapsed="false">
      <c r="B596" s="33"/>
      <c r="C596" s="29"/>
    </row>
    <row r="597" customFormat="false" ht="18.75" hidden="false" customHeight="true" outlineLevel="0" collapsed="false">
      <c r="B597" s="33"/>
      <c r="C597" s="29"/>
    </row>
    <row r="598" customFormat="false" ht="18.75" hidden="false" customHeight="true" outlineLevel="0" collapsed="false">
      <c r="B598" s="33"/>
      <c r="C598" s="29"/>
    </row>
    <row r="599" customFormat="false" ht="18.75" hidden="false" customHeight="true" outlineLevel="0" collapsed="false">
      <c r="B599" s="33"/>
      <c r="C599" s="29"/>
    </row>
    <row r="600" customFormat="false" ht="18.75" hidden="false" customHeight="true" outlineLevel="0" collapsed="false">
      <c r="B600" s="33"/>
      <c r="C600" s="29"/>
    </row>
    <row r="601" customFormat="false" ht="18.75" hidden="false" customHeight="true" outlineLevel="0" collapsed="false">
      <c r="B601" s="33"/>
      <c r="C601" s="29"/>
    </row>
    <row r="602" customFormat="false" ht="18.75" hidden="false" customHeight="true" outlineLevel="0" collapsed="false">
      <c r="B602" s="33"/>
      <c r="C602" s="29"/>
    </row>
    <row r="603" customFormat="false" ht="18.75" hidden="false" customHeight="true" outlineLevel="0" collapsed="false">
      <c r="B603" s="33"/>
      <c r="C603" s="29"/>
    </row>
    <row r="604" customFormat="false" ht="18.75" hidden="false" customHeight="true" outlineLevel="0" collapsed="false">
      <c r="B604" s="33"/>
      <c r="C604" s="29"/>
    </row>
    <row r="605" customFormat="false" ht="18.75" hidden="false" customHeight="true" outlineLevel="0" collapsed="false">
      <c r="B605" s="33"/>
      <c r="C605" s="29"/>
    </row>
    <row r="606" customFormat="false" ht="18.75" hidden="false" customHeight="true" outlineLevel="0" collapsed="false">
      <c r="B606" s="33"/>
      <c r="C606" s="29"/>
    </row>
    <row r="607" customFormat="false" ht="18.75" hidden="false" customHeight="true" outlineLevel="0" collapsed="false">
      <c r="B607" s="33"/>
      <c r="C607" s="29"/>
    </row>
    <row r="608" customFormat="false" ht="18.75" hidden="false" customHeight="true" outlineLevel="0" collapsed="false">
      <c r="B608" s="33"/>
      <c r="C608" s="29"/>
    </row>
    <row r="609" customFormat="false" ht="18.75" hidden="false" customHeight="true" outlineLevel="0" collapsed="false">
      <c r="B609" s="33"/>
      <c r="C609" s="29"/>
    </row>
    <row r="610" customFormat="false" ht="18.75" hidden="false" customHeight="true" outlineLevel="0" collapsed="false">
      <c r="B610" s="33"/>
      <c r="C610" s="29"/>
    </row>
    <row r="611" customFormat="false" ht="18.75" hidden="false" customHeight="true" outlineLevel="0" collapsed="false">
      <c r="B611" s="33"/>
      <c r="C611" s="29"/>
    </row>
    <row r="612" customFormat="false" ht="18.75" hidden="false" customHeight="true" outlineLevel="0" collapsed="false">
      <c r="B612" s="33"/>
      <c r="C612" s="29"/>
    </row>
    <row r="613" customFormat="false" ht="18.75" hidden="false" customHeight="true" outlineLevel="0" collapsed="false">
      <c r="B613" s="33"/>
      <c r="C613" s="29"/>
    </row>
    <row r="614" customFormat="false" ht="18.75" hidden="false" customHeight="true" outlineLevel="0" collapsed="false">
      <c r="B614" s="33"/>
      <c r="C614" s="29"/>
    </row>
    <row r="615" customFormat="false" ht="18.75" hidden="false" customHeight="true" outlineLevel="0" collapsed="false">
      <c r="B615" s="33"/>
      <c r="C615" s="29"/>
    </row>
    <row r="616" customFormat="false" ht="18.75" hidden="false" customHeight="true" outlineLevel="0" collapsed="false">
      <c r="B616" s="33"/>
      <c r="C616" s="29"/>
    </row>
    <row r="617" customFormat="false" ht="18.75" hidden="false" customHeight="true" outlineLevel="0" collapsed="false">
      <c r="B617" s="33"/>
      <c r="C617" s="29"/>
    </row>
    <row r="618" customFormat="false" ht="18.75" hidden="false" customHeight="true" outlineLevel="0" collapsed="false">
      <c r="B618" s="33"/>
      <c r="C618" s="29"/>
    </row>
    <row r="619" customFormat="false" ht="18.75" hidden="false" customHeight="true" outlineLevel="0" collapsed="false">
      <c r="B619" s="33"/>
      <c r="C619" s="29"/>
    </row>
    <row r="620" customFormat="false" ht="18.75" hidden="false" customHeight="true" outlineLevel="0" collapsed="false">
      <c r="B620" s="33"/>
      <c r="C620" s="29"/>
    </row>
    <row r="621" customFormat="false" ht="18.75" hidden="false" customHeight="true" outlineLevel="0" collapsed="false">
      <c r="B621" s="33"/>
      <c r="C621" s="29"/>
    </row>
    <row r="622" customFormat="false" ht="18.75" hidden="false" customHeight="true" outlineLevel="0" collapsed="false">
      <c r="B622" s="33"/>
      <c r="C622" s="29"/>
    </row>
    <row r="623" customFormat="false" ht="18.75" hidden="false" customHeight="true" outlineLevel="0" collapsed="false">
      <c r="B623" s="33"/>
      <c r="C623" s="29"/>
    </row>
    <row r="624" customFormat="false" ht="18.75" hidden="false" customHeight="true" outlineLevel="0" collapsed="false">
      <c r="B624" s="33"/>
      <c r="C624" s="29"/>
    </row>
    <row r="625" customFormat="false" ht="18.75" hidden="false" customHeight="true" outlineLevel="0" collapsed="false">
      <c r="B625" s="33"/>
      <c r="C625" s="29"/>
    </row>
    <row r="626" customFormat="false" ht="18.75" hidden="false" customHeight="true" outlineLevel="0" collapsed="false">
      <c r="B626" s="33"/>
      <c r="C626" s="29"/>
    </row>
    <row r="627" customFormat="false" ht="18.75" hidden="false" customHeight="true" outlineLevel="0" collapsed="false">
      <c r="B627" s="33"/>
      <c r="C627" s="29"/>
    </row>
    <row r="628" customFormat="false" ht="18.75" hidden="false" customHeight="true" outlineLevel="0" collapsed="false">
      <c r="B628" s="33"/>
      <c r="C628" s="29"/>
    </row>
    <row r="629" customFormat="false" ht="18.75" hidden="false" customHeight="true" outlineLevel="0" collapsed="false">
      <c r="B629" s="33"/>
      <c r="C629" s="29"/>
    </row>
    <row r="630" customFormat="false" ht="18.75" hidden="false" customHeight="true" outlineLevel="0" collapsed="false">
      <c r="B630" s="33"/>
      <c r="C630" s="29"/>
    </row>
    <row r="631" customFormat="false" ht="18.75" hidden="false" customHeight="true" outlineLevel="0" collapsed="false">
      <c r="B631" s="33"/>
      <c r="C631" s="29"/>
    </row>
    <row r="632" customFormat="false" ht="18.75" hidden="false" customHeight="true" outlineLevel="0" collapsed="false">
      <c r="B632" s="33"/>
      <c r="C632" s="29"/>
    </row>
    <row r="633" customFormat="false" ht="18.75" hidden="false" customHeight="true" outlineLevel="0" collapsed="false">
      <c r="B633" s="33"/>
      <c r="C633" s="29"/>
    </row>
    <row r="634" customFormat="false" ht="18.75" hidden="false" customHeight="true" outlineLevel="0" collapsed="false">
      <c r="B634" s="33"/>
      <c r="C634" s="29"/>
    </row>
    <row r="635" customFormat="false" ht="18.75" hidden="false" customHeight="true" outlineLevel="0" collapsed="false">
      <c r="B635" s="33"/>
      <c r="C635" s="29"/>
    </row>
    <row r="636" customFormat="false" ht="18.75" hidden="false" customHeight="true" outlineLevel="0" collapsed="false">
      <c r="B636" s="33"/>
      <c r="C636" s="29"/>
    </row>
    <row r="637" customFormat="false" ht="18.75" hidden="false" customHeight="true" outlineLevel="0" collapsed="false">
      <c r="B637" s="33"/>
      <c r="C637" s="29"/>
    </row>
    <row r="638" customFormat="false" ht="18.75" hidden="false" customHeight="true" outlineLevel="0" collapsed="false">
      <c r="B638" s="33"/>
      <c r="C638" s="29"/>
    </row>
    <row r="639" customFormat="false" ht="18.75" hidden="false" customHeight="true" outlineLevel="0" collapsed="false">
      <c r="B639" s="33"/>
      <c r="C639" s="29"/>
    </row>
    <row r="640" customFormat="false" ht="18.75" hidden="false" customHeight="true" outlineLevel="0" collapsed="false">
      <c r="B640" s="33"/>
      <c r="C640" s="29"/>
    </row>
    <row r="641" customFormat="false" ht="18.75" hidden="false" customHeight="true" outlineLevel="0" collapsed="false">
      <c r="B641" s="33"/>
      <c r="C641" s="29"/>
    </row>
    <row r="642" customFormat="false" ht="18.75" hidden="false" customHeight="true" outlineLevel="0" collapsed="false">
      <c r="B642" s="33"/>
      <c r="C642" s="29"/>
    </row>
    <row r="643" customFormat="false" ht="18.75" hidden="false" customHeight="true" outlineLevel="0" collapsed="false">
      <c r="B643" s="33"/>
      <c r="C643" s="29"/>
    </row>
    <row r="644" customFormat="false" ht="18.75" hidden="false" customHeight="true" outlineLevel="0" collapsed="false">
      <c r="B644" s="33"/>
      <c r="C644" s="29"/>
    </row>
    <row r="645" customFormat="false" ht="18.75" hidden="false" customHeight="true" outlineLevel="0" collapsed="false">
      <c r="B645" s="33"/>
      <c r="C645" s="29"/>
    </row>
    <row r="646" customFormat="false" ht="18.75" hidden="false" customHeight="true" outlineLevel="0" collapsed="false">
      <c r="B646" s="33"/>
      <c r="C646" s="29"/>
    </row>
    <row r="647" customFormat="false" ht="18.75" hidden="false" customHeight="true" outlineLevel="0" collapsed="false">
      <c r="B647" s="33"/>
      <c r="C647" s="29"/>
    </row>
    <row r="648" customFormat="false" ht="18.75" hidden="false" customHeight="true" outlineLevel="0" collapsed="false">
      <c r="B648" s="33"/>
      <c r="C648" s="29"/>
    </row>
    <row r="649" customFormat="false" ht="18.75" hidden="false" customHeight="true" outlineLevel="0" collapsed="false">
      <c r="B649" s="33"/>
      <c r="C649" s="29"/>
    </row>
    <row r="650" customFormat="false" ht="18.75" hidden="false" customHeight="true" outlineLevel="0" collapsed="false">
      <c r="B650" s="33"/>
      <c r="C650" s="29"/>
    </row>
    <row r="651" customFormat="false" ht="18.75" hidden="false" customHeight="true" outlineLevel="0" collapsed="false">
      <c r="B651" s="33"/>
      <c r="C651" s="29"/>
    </row>
    <row r="652" customFormat="false" ht="18.75" hidden="false" customHeight="true" outlineLevel="0" collapsed="false">
      <c r="B652" s="33"/>
      <c r="C652" s="29"/>
    </row>
    <row r="653" customFormat="false" ht="18.75" hidden="false" customHeight="true" outlineLevel="0" collapsed="false">
      <c r="B653" s="33"/>
      <c r="C653" s="29"/>
    </row>
    <row r="654" customFormat="false" ht="18.75" hidden="false" customHeight="true" outlineLevel="0" collapsed="false">
      <c r="B654" s="33"/>
      <c r="C654" s="29"/>
    </row>
    <row r="655" customFormat="false" ht="18.75" hidden="false" customHeight="true" outlineLevel="0" collapsed="false">
      <c r="B655" s="33"/>
      <c r="C655" s="29"/>
    </row>
    <row r="656" customFormat="false" ht="18.75" hidden="false" customHeight="true" outlineLevel="0" collapsed="false">
      <c r="B656" s="33"/>
      <c r="C656" s="29"/>
    </row>
    <row r="657" customFormat="false" ht="18.75" hidden="false" customHeight="true" outlineLevel="0" collapsed="false">
      <c r="B657" s="33"/>
      <c r="C657" s="29"/>
    </row>
    <row r="658" customFormat="false" ht="18.75" hidden="false" customHeight="true" outlineLevel="0" collapsed="false">
      <c r="B658" s="33"/>
      <c r="C658" s="29"/>
    </row>
    <row r="659" customFormat="false" ht="18.75" hidden="false" customHeight="true" outlineLevel="0" collapsed="false">
      <c r="B659" s="33"/>
      <c r="C659" s="29"/>
    </row>
    <row r="660" customFormat="false" ht="18.75" hidden="false" customHeight="true" outlineLevel="0" collapsed="false">
      <c r="B660" s="33"/>
      <c r="C660" s="29"/>
    </row>
    <row r="661" customFormat="false" ht="18.75" hidden="false" customHeight="true" outlineLevel="0" collapsed="false">
      <c r="B661" s="33"/>
      <c r="C661" s="29"/>
    </row>
    <row r="662" customFormat="false" ht="18.75" hidden="false" customHeight="true" outlineLevel="0" collapsed="false">
      <c r="B662" s="33"/>
      <c r="C662" s="29"/>
    </row>
    <row r="663" customFormat="false" ht="18.75" hidden="false" customHeight="true" outlineLevel="0" collapsed="false">
      <c r="B663" s="33"/>
      <c r="C663" s="29"/>
    </row>
    <row r="664" customFormat="false" ht="18.75" hidden="false" customHeight="true" outlineLevel="0" collapsed="false">
      <c r="B664" s="33"/>
      <c r="C664" s="29"/>
    </row>
    <row r="665" customFormat="false" ht="18.75" hidden="false" customHeight="true" outlineLevel="0" collapsed="false">
      <c r="B665" s="33"/>
      <c r="C665" s="29"/>
    </row>
    <row r="666" customFormat="false" ht="18.75" hidden="false" customHeight="true" outlineLevel="0" collapsed="false">
      <c r="B666" s="33"/>
      <c r="C666" s="29"/>
    </row>
    <row r="667" customFormat="false" ht="18.75" hidden="false" customHeight="true" outlineLevel="0" collapsed="false">
      <c r="B667" s="33"/>
      <c r="C667" s="29"/>
    </row>
    <row r="668" customFormat="false" ht="18.75" hidden="false" customHeight="true" outlineLevel="0" collapsed="false">
      <c r="B668" s="33"/>
      <c r="C668" s="29"/>
    </row>
    <row r="669" customFormat="false" ht="18.75" hidden="false" customHeight="true" outlineLevel="0" collapsed="false">
      <c r="B669" s="33"/>
      <c r="C669" s="29"/>
    </row>
    <row r="670" customFormat="false" ht="18.75" hidden="false" customHeight="true" outlineLevel="0" collapsed="false">
      <c r="B670" s="33"/>
      <c r="C670" s="29"/>
    </row>
    <row r="671" customFormat="false" ht="18.75" hidden="false" customHeight="true" outlineLevel="0" collapsed="false">
      <c r="B671" s="33"/>
      <c r="C671" s="29"/>
    </row>
    <row r="672" customFormat="false" ht="18.75" hidden="false" customHeight="true" outlineLevel="0" collapsed="false">
      <c r="B672" s="33"/>
      <c r="C672" s="29"/>
    </row>
    <row r="673" customFormat="false" ht="18.75" hidden="false" customHeight="true" outlineLevel="0" collapsed="false">
      <c r="B673" s="33"/>
      <c r="C673" s="29"/>
    </row>
    <row r="674" customFormat="false" ht="18.75" hidden="false" customHeight="true" outlineLevel="0" collapsed="false">
      <c r="B674" s="33"/>
      <c r="C674" s="29"/>
    </row>
    <row r="675" customFormat="false" ht="18.75" hidden="false" customHeight="true" outlineLevel="0" collapsed="false">
      <c r="B675" s="33"/>
      <c r="C675" s="29"/>
    </row>
    <row r="676" customFormat="false" ht="18.75" hidden="false" customHeight="true" outlineLevel="0" collapsed="false">
      <c r="B676" s="33"/>
      <c r="C676" s="29"/>
    </row>
    <row r="677" customFormat="false" ht="18.75" hidden="false" customHeight="true" outlineLevel="0" collapsed="false">
      <c r="B677" s="33"/>
      <c r="C677" s="29"/>
    </row>
    <row r="678" customFormat="false" ht="18.75" hidden="false" customHeight="true" outlineLevel="0" collapsed="false">
      <c r="B678" s="33"/>
      <c r="C678" s="29"/>
    </row>
    <row r="679" customFormat="false" ht="18.75" hidden="false" customHeight="true" outlineLevel="0" collapsed="false">
      <c r="B679" s="33"/>
      <c r="C679" s="29"/>
    </row>
    <row r="680" customFormat="false" ht="18.75" hidden="false" customHeight="true" outlineLevel="0" collapsed="false">
      <c r="B680" s="33"/>
      <c r="C680" s="29"/>
    </row>
    <row r="681" customFormat="false" ht="18.75" hidden="false" customHeight="true" outlineLevel="0" collapsed="false">
      <c r="B681" s="33"/>
      <c r="C681" s="29"/>
    </row>
    <row r="682" customFormat="false" ht="18.75" hidden="false" customHeight="true" outlineLevel="0" collapsed="false">
      <c r="B682" s="33"/>
      <c r="C682" s="29"/>
    </row>
    <row r="683" customFormat="false" ht="18.75" hidden="false" customHeight="true" outlineLevel="0" collapsed="false">
      <c r="B683" s="33"/>
      <c r="C683" s="29"/>
    </row>
    <row r="684" customFormat="false" ht="18.75" hidden="false" customHeight="true" outlineLevel="0" collapsed="false">
      <c r="B684" s="33"/>
      <c r="C684" s="29"/>
    </row>
    <row r="685" customFormat="false" ht="18.75" hidden="false" customHeight="true" outlineLevel="0" collapsed="false">
      <c r="B685" s="33"/>
      <c r="C685" s="29"/>
    </row>
    <row r="686" customFormat="false" ht="18.75" hidden="false" customHeight="true" outlineLevel="0" collapsed="false">
      <c r="B686" s="33"/>
      <c r="C686" s="29"/>
    </row>
    <row r="687" customFormat="false" ht="18.75" hidden="false" customHeight="true" outlineLevel="0" collapsed="false">
      <c r="B687" s="33"/>
      <c r="C687" s="29"/>
    </row>
    <row r="688" customFormat="false" ht="18.75" hidden="false" customHeight="true" outlineLevel="0" collapsed="false">
      <c r="B688" s="33"/>
      <c r="C688" s="29"/>
    </row>
    <row r="689" customFormat="false" ht="18.75" hidden="false" customHeight="true" outlineLevel="0" collapsed="false">
      <c r="B689" s="33"/>
      <c r="C689" s="29"/>
    </row>
    <row r="690" customFormat="false" ht="18.75" hidden="false" customHeight="true" outlineLevel="0" collapsed="false">
      <c r="B690" s="33"/>
      <c r="C690" s="29"/>
    </row>
    <row r="691" customFormat="false" ht="18.75" hidden="false" customHeight="true" outlineLevel="0" collapsed="false">
      <c r="B691" s="33"/>
      <c r="C691" s="29"/>
    </row>
    <row r="692" customFormat="false" ht="18.75" hidden="false" customHeight="true" outlineLevel="0" collapsed="false">
      <c r="B692" s="33"/>
      <c r="C692" s="29"/>
    </row>
    <row r="693" customFormat="false" ht="18.75" hidden="false" customHeight="true" outlineLevel="0" collapsed="false">
      <c r="B693" s="33"/>
      <c r="C693" s="29"/>
    </row>
    <row r="694" customFormat="false" ht="18.75" hidden="false" customHeight="true" outlineLevel="0" collapsed="false">
      <c r="B694" s="33"/>
      <c r="C694" s="29"/>
    </row>
    <row r="695" customFormat="false" ht="18.75" hidden="false" customHeight="true" outlineLevel="0" collapsed="false">
      <c r="B695" s="33"/>
      <c r="C695" s="29"/>
    </row>
    <row r="696" customFormat="false" ht="18.75" hidden="false" customHeight="true" outlineLevel="0" collapsed="false">
      <c r="B696" s="33"/>
      <c r="C696" s="29"/>
    </row>
    <row r="697" customFormat="false" ht="18.75" hidden="false" customHeight="true" outlineLevel="0" collapsed="false">
      <c r="B697" s="33"/>
      <c r="C697" s="29"/>
    </row>
    <row r="698" customFormat="false" ht="18.75" hidden="false" customHeight="true" outlineLevel="0" collapsed="false">
      <c r="B698" s="33"/>
      <c r="C698" s="29"/>
    </row>
    <row r="699" customFormat="false" ht="18.75" hidden="false" customHeight="true" outlineLevel="0" collapsed="false">
      <c r="B699" s="33"/>
      <c r="C699" s="29"/>
    </row>
    <row r="700" customFormat="false" ht="18.75" hidden="false" customHeight="true" outlineLevel="0" collapsed="false">
      <c r="B700" s="33"/>
      <c r="C700" s="29"/>
    </row>
    <row r="701" customFormat="false" ht="18.75" hidden="false" customHeight="true" outlineLevel="0" collapsed="false">
      <c r="B701" s="33"/>
      <c r="C701" s="29"/>
    </row>
    <row r="702" customFormat="false" ht="18.75" hidden="false" customHeight="true" outlineLevel="0" collapsed="false">
      <c r="B702" s="33"/>
      <c r="C702" s="29"/>
    </row>
    <row r="703" customFormat="false" ht="18.75" hidden="false" customHeight="true" outlineLevel="0" collapsed="false">
      <c r="B703" s="33"/>
      <c r="C703" s="29"/>
    </row>
    <row r="704" customFormat="false" ht="18.75" hidden="false" customHeight="true" outlineLevel="0" collapsed="false">
      <c r="B704" s="33"/>
      <c r="C704" s="29"/>
    </row>
    <row r="705" customFormat="false" ht="18.75" hidden="false" customHeight="true" outlineLevel="0" collapsed="false">
      <c r="B705" s="33"/>
      <c r="C705" s="29"/>
    </row>
    <row r="706" customFormat="false" ht="18.75" hidden="false" customHeight="true" outlineLevel="0" collapsed="false">
      <c r="B706" s="33"/>
      <c r="C706" s="29"/>
    </row>
    <row r="707" customFormat="false" ht="18.75" hidden="false" customHeight="true" outlineLevel="0" collapsed="false">
      <c r="B707" s="33"/>
      <c r="C707" s="29"/>
    </row>
    <row r="708" customFormat="false" ht="18.75" hidden="false" customHeight="true" outlineLevel="0" collapsed="false">
      <c r="B708" s="33"/>
      <c r="C708" s="29"/>
    </row>
    <row r="709" customFormat="false" ht="18.75" hidden="false" customHeight="true" outlineLevel="0" collapsed="false">
      <c r="B709" s="33"/>
      <c r="C709" s="29"/>
    </row>
    <row r="710" customFormat="false" ht="18.75" hidden="false" customHeight="true" outlineLevel="0" collapsed="false">
      <c r="B710" s="33"/>
      <c r="C710" s="29"/>
    </row>
    <row r="711" customFormat="false" ht="18.75" hidden="false" customHeight="true" outlineLevel="0" collapsed="false">
      <c r="B711" s="33"/>
      <c r="C711" s="29"/>
    </row>
    <row r="712" customFormat="false" ht="18.75" hidden="false" customHeight="true" outlineLevel="0" collapsed="false">
      <c r="B712" s="33"/>
      <c r="C712" s="29"/>
    </row>
    <row r="713" customFormat="false" ht="18.75" hidden="false" customHeight="true" outlineLevel="0" collapsed="false">
      <c r="B713" s="33"/>
      <c r="C713" s="29"/>
    </row>
    <row r="714" customFormat="false" ht="18.75" hidden="false" customHeight="true" outlineLevel="0" collapsed="false">
      <c r="B714" s="33"/>
      <c r="C714" s="29"/>
    </row>
    <row r="715" customFormat="false" ht="18.75" hidden="false" customHeight="true" outlineLevel="0" collapsed="false">
      <c r="B715" s="33"/>
      <c r="C715" s="29"/>
    </row>
    <row r="716" customFormat="false" ht="18.75" hidden="false" customHeight="true" outlineLevel="0" collapsed="false">
      <c r="B716" s="33"/>
      <c r="C716" s="29"/>
    </row>
    <row r="717" customFormat="false" ht="18.75" hidden="false" customHeight="true" outlineLevel="0" collapsed="false">
      <c r="B717" s="33"/>
      <c r="C717" s="29"/>
    </row>
    <row r="718" customFormat="false" ht="18.75" hidden="false" customHeight="true" outlineLevel="0" collapsed="false">
      <c r="B718" s="33"/>
      <c r="C718" s="29"/>
    </row>
    <row r="719" customFormat="false" ht="18.75" hidden="false" customHeight="true" outlineLevel="0" collapsed="false">
      <c r="B719" s="33"/>
      <c r="C719" s="29"/>
    </row>
    <row r="720" customFormat="false" ht="18.75" hidden="false" customHeight="true" outlineLevel="0" collapsed="false">
      <c r="B720" s="33"/>
      <c r="C720" s="29"/>
    </row>
    <row r="721" customFormat="false" ht="18.75" hidden="false" customHeight="true" outlineLevel="0" collapsed="false">
      <c r="B721" s="33"/>
      <c r="C721" s="29"/>
    </row>
    <row r="722" customFormat="false" ht="18.75" hidden="false" customHeight="true" outlineLevel="0" collapsed="false">
      <c r="B722" s="33"/>
      <c r="C722" s="29"/>
    </row>
    <row r="723" customFormat="false" ht="18.75" hidden="false" customHeight="true" outlineLevel="0" collapsed="false">
      <c r="B723" s="33"/>
      <c r="C723" s="29"/>
    </row>
    <row r="724" customFormat="false" ht="18.75" hidden="false" customHeight="true" outlineLevel="0" collapsed="false">
      <c r="B724" s="33"/>
      <c r="C724" s="29"/>
    </row>
    <row r="725" customFormat="false" ht="18.75" hidden="false" customHeight="true" outlineLevel="0" collapsed="false">
      <c r="B725" s="33"/>
      <c r="C725" s="29"/>
    </row>
    <row r="726" customFormat="false" ht="18.75" hidden="false" customHeight="true" outlineLevel="0" collapsed="false">
      <c r="B726" s="33"/>
      <c r="C726" s="29"/>
    </row>
    <row r="727" customFormat="false" ht="18.75" hidden="false" customHeight="true" outlineLevel="0" collapsed="false">
      <c r="B727" s="33"/>
      <c r="C727" s="29"/>
    </row>
    <row r="728" customFormat="false" ht="18.75" hidden="false" customHeight="true" outlineLevel="0" collapsed="false">
      <c r="B728" s="33"/>
      <c r="C728" s="29"/>
    </row>
    <row r="729" customFormat="false" ht="18.75" hidden="false" customHeight="true" outlineLevel="0" collapsed="false">
      <c r="B729" s="33"/>
      <c r="C729" s="29"/>
    </row>
    <row r="730" customFormat="false" ht="18.75" hidden="false" customHeight="true" outlineLevel="0" collapsed="false">
      <c r="B730" s="33"/>
      <c r="C730" s="29"/>
    </row>
    <row r="731" customFormat="false" ht="18.75" hidden="false" customHeight="true" outlineLevel="0" collapsed="false">
      <c r="B731" s="33"/>
      <c r="C731" s="29"/>
    </row>
    <row r="732" customFormat="false" ht="18.75" hidden="false" customHeight="true" outlineLevel="0" collapsed="false">
      <c r="B732" s="33"/>
      <c r="C732" s="29"/>
    </row>
    <row r="733" customFormat="false" ht="18.75" hidden="false" customHeight="true" outlineLevel="0" collapsed="false">
      <c r="B733" s="33"/>
      <c r="C733" s="29"/>
    </row>
    <row r="734" customFormat="false" ht="18.75" hidden="false" customHeight="true" outlineLevel="0" collapsed="false">
      <c r="B734" s="33"/>
      <c r="C734" s="29"/>
    </row>
    <row r="735" customFormat="false" ht="18.75" hidden="false" customHeight="true" outlineLevel="0" collapsed="false">
      <c r="B735" s="33"/>
      <c r="C735" s="29"/>
    </row>
    <row r="736" customFormat="false" ht="18.75" hidden="false" customHeight="true" outlineLevel="0" collapsed="false">
      <c r="B736" s="33"/>
      <c r="C736" s="29"/>
    </row>
    <row r="737" customFormat="false" ht="18.75" hidden="false" customHeight="true" outlineLevel="0" collapsed="false">
      <c r="B737" s="33"/>
      <c r="C737" s="29"/>
    </row>
    <row r="738" customFormat="false" ht="18.75" hidden="false" customHeight="true" outlineLevel="0" collapsed="false">
      <c r="B738" s="33"/>
      <c r="C738" s="29"/>
    </row>
    <row r="739" customFormat="false" ht="18.75" hidden="false" customHeight="true" outlineLevel="0" collapsed="false">
      <c r="B739" s="33"/>
      <c r="C739" s="29"/>
    </row>
    <row r="740" customFormat="false" ht="18.75" hidden="false" customHeight="true" outlineLevel="0" collapsed="false">
      <c r="B740" s="33"/>
      <c r="C740" s="29"/>
    </row>
    <row r="741" customFormat="false" ht="18.75" hidden="false" customHeight="true" outlineLevel="0" collapsed="false">
      <c r="B741" s="33"/>
      <c r="C741" s="29"/>
    </row>
    <row r="742" customFormat="false" ht="18.75" hidden="false" customHeight="true" outlineLevel="0" collapsed="false">
      <c r="B742" s="33"/>
      <c r="C742" s="29"/>
    </row>
    <row r="743" customFormat="false" ht="18.75" hidden="false" customHeight="true" outlineLevel="0" collapsed="false">
      <c r="B743" s="33"/>
      <c r="C743" s="29"/>
    </row>
    <row r="744" customFormat="false" ht="18.75" hidden="false" customHeight="true" outlineLevel="0" collapsed="false">
      <c r="B744" s="33"/>
      <c r="C744" s="29"/>
    </row>
    <row r="745" customFormat="false" ht="18.75" hidden="false" customHeight="true" outlineLevel="0" collapsed="false">
      <c r="B745" s="33"/>
      <c r="C745" s="29"/>
    </row>
    <row r="746" customFormat="false" ht="18.75" hidden="false" customHeight="true" outlineLevel="0" collapsed="false">
      <c r="B746" s="33"/>
      <c r="C746" s="29"/>
    </row>
    <row r="747" customFormat="false" ht="18.75" hidden="false" customHeight="true" outlineLevel="0" collapsed="false">
      <c r="B747" s="33"/>
      <c r="C747" s="29"/>
    </row>
    <row r="748" customFormat="false" ht="18.75" hidden="false" customHeight="true" outlineLevel="0" collapsed="false">
      <c r="B748" s="33"/>
      <c r="C748" s="29"/>
    </row>
    <row r="749" customFormat="false" ht="18.75" hidden="false" customHeight="true" outlineLevel="0" collapsed="false">
      <c r="B749" s="33"/>
      <c r="C749" s="29"/>
    </row>
    <row r="750" customFormat="false" ht="18.75" hidden="false" customHeight="true" outlineLevel="0" collapsed="false">
      <c r="B750" s="33"/>
      <c r="C750" s="29"/>
    </row>
    <row r="751" customFormat="false" ht="18.75" hidden="false" customHeight="true" outlineLevel="0" collapsed="false">
      <c r="B751" s="33"/>
      <c r="C751" s="29"/>
    </row>
    <row r="752" customFormat="false" ht="18.75" hidden="false" customHeight="true" outlineLevel="0" collapsed="false">
      <c r="B752" s="33"/>
      <c r="C752" s="29"/>
    </row>
    <row r="753" customFormat="false" ht="18.75" hidden="false" customHeight="true" outlineLevel="0" collapsed="false">
      <c r="B753" s="33"/>
      <c r="C753" s="29"/>
    </row>
    <row r="754" customFormat="false" ht="18.75" hidden="false" customHeight="true" outlineLevel="0" collapsed="false">
      <c r="B754" s="33"/>
      <c r="C754" s="29"/>
    </row>
    <row r="755" customFormat="false" ht="18.75" hidden="false" customHeight="true" outlineLevel="0" collapsed="false">
      <c r="B755" s="33"/>
      <c r="C755" s="29"/>
    </row>
    <row r="756" customFormat="false" ht="18.75" hidden="false" customHeight="true" outlineLevel="0" collapsed="false">
      <c r="B756" s="33"/>
      <c r="C756" s="29"/>
    </row>
    <row r="757" customFormat="false" ht="18.75" hidden="false" customHeight="true" outlineLevel="0" collapsed="false">
      <c r="B757" s="33"/>
      <c r="C757" s="29"/>
    </row>
    <row r="758" customFormat="false" ht="18.75" hidden="false" customHeight="true" outlineLevel="0" collapsed="false">
      <c r="B758" s="33"/>
      <c r="C758" s="29"/>
    </row>
    <row r="759" customFormat="false" ht="18.75" hidden="false" customHeight="true" outlineLevel="0" collapsed="false">
      <c r="B759" s="33"/>
      <c r="C759" s="29"/>
    </row>
    <row r="760" customFormat="false" ht="18.75" hidden="false" customHeight="true" outlineLevel="0" collapsed="false">
      <c r="B760" s="33"/>
      <c r="C760" s="29"/>
    </row>
    <row r="761" customFormat="false" ht="18.75" hidden="false" customHeight="true" outlineLevel="0" collapsed="false">
      <c r="B761" s="33"/>
      <c r="C761" s="29"/>
    </row>
    <row r="762" customFormat="false" ht="18.75" hidden="false" customHeight="true" outlineLevel="0" collapsed="false">
      <c r="B762" s="33"/>
      <c r="C762" s="29"/>
    </row>
    <row r="763" customFormat="false" ht="18.75" hidden="false" customHeight="true" outlineLevel="0" collapsed="false">
      <c r="B763" s="33"/>
      <c r="C763" s="29"/>
    </row>
    <row r="764" customFormat="false" ht="18.75" hidden="false" customHeight="true" outlineLevel="0" collapsed="false">
      <c r="B764" s="33"/>
      <c r="C764" s="29"/>
    </row>
    <row r="765" customFormat="false" ht="18.75" hidden="false" customHeight="true" outlineLevel="0" collapsed="false">
      <c r="B765" s="33"/>
      <c r="C765" s="29"/>
    </row>
    <row r="766" customFormat="false" ht="18.75" hidden="false" customHeight="true" outlineLevel="0" collapsed="false">
      <c r="B766" s="33"/>
      <c r="C766" s="29"/>
    </row>
    <row r="767" customFormat="false" ht="18.75" hidden="false" customHeight="true" outlineLevel="0" collapsed="false">
      <c r="B767" s="33"/>
      <c r="C767" s="29"/>
    </row>
    <row r="768" customFormat="false" ht="18.75" hidden="false" customHeight="true" outlineLevel="0" collapsed="false">
      <c r="B768" s="33"/>
      <c r="C768" s="29"/>
    </row>
    <row r="769" customFormat="false" ht="18.75" hidden="false" customHeight="true" outlineLevel="0" collapsed="false">
      <c r="B769" s="33"/>
      <c r="C769" s="29"/>
    </row>
    <row r="770" customFormat="false" ht="18.75" hidden="false" customHeight="true" outlineLevel="0" collapsed="false">
      <c r="B770" s="33"/>
      <c r="C770" s="29"/>
    </row>
    <row r="771" customFormat="false" ht="18.75" hidden="false" customHeight="true" outlineLevel="0" collapsed="false">
      <c r="B771" s="33"/>
      <c r="C771" s="29"/>
    </row>
    <row r="772" customFormat="false" ht="18.75" hidden="false" customHeight="true" outlineLevel="0" collapsed="false">
      <c r="B772" s="33"/>
      <c r="C772" s="29"/>
    </row>
    <row r="773" customFormat="false" ht="18.75" hidden="false" customHeight="true" outlineLevel="0" collapsed="false">
      <c r="B773" s="33"/>
      <c r="C773" s="29"/>
    </row>
    <row r="774" customFormat="false" ht="18.75" hidden="false" customHeight="true" outlineLevel="0" collapsed="false">
      <c r="B774" s="33"/>
      <c r="C774" s="29"/>
    </row>
    <row r="775" customFormat="false" ht="18.75" hidden="false" customHeight="true" outlineLevel="0" collapsed="false">
      <c r="B775" s="33"/>
      <c r="C775" s="29"/>
    </row>
    <row r="776" customFormat="false" ht="18.75" hidden="false" customHeight="true" outlineLevel="0" collapsed="false">
      <c r="B776" s="33"/>
      <c r="C776" s="29"/>
    </row>
    <row r="777" customFormat="false" ht="18.75" hidden="false" customHeight="true" outlineLevel="0" collapsed="false">
      <c r="B777" s="33"/>
      <c r="C777" s="29"/>
    </row>
    <row r="778" customFormat="false" ht="18.75" hidden="false" customHeight="true" outlineLevel="0" collapsed="false">
      <c r="B778" s="33"/>
      <c r="C778" s="29"/>
    </row>
    <row r="779" customFormat="false" ht="18.75" hidden="false" customHeight="true" outlineLevel="0" collapsed="false">
      <c r="B779" s="33"/>
      <c r="C779" s="29"/>
    </row>
    <row r="780" customFormat="false" ht="18.75" hidden="false" customHeight="true" outlineLevel="0" collapsed="false">
      <c r="B780" s="33"/>
      <c r="C780" s="29"/>
    </row>
    <row r="781" customFormat="false" ht="18.75" hidden="false" customHeight="true" outlineLevel="0" collapsed="false">
      <c r="B781" s="33"/>
      <c r="C781" s="29"/>
    </row>
    <row r="782" customFormat="false" ht="18.75" hidden="false" customHeight="true" outlineLevel="0" collapsed="false">
      <c r="B782" s="33"/>
      <c r="C782" s="29"/>
    </row>
    <row r="783" customFormat="false" ht="18.75" hidden="false" customHeight="true" outlineLevel="0" collapsed="false">
      <c r="B783" s="33"/>
      <c r="C783" s="29"/>
    </row>
    <row r="784" customFormat="false" ht="18.75" hidden="false" customHeight="true" outlineLevel="0" collapsed="false">
      <c r="B784" s="33"/>
      <c r="C784" s="29"/>
    </row>
    <row r="785" customFormat="false" ht="18.75" hidden="false" customHeight="true" outlineLevel="0" collapsed="false">
      <c r="B785" s="33"/>
      <c r="C785" s="29"/>
    </row>
    <row r="786" customFormat="false" ht="18.75" hidden="false" customHeight="true" outlineLevel="0" collapsed="false">
      <c r="B786" s="33"/>
      <c r="C786" s="29"/>
    </row>
    <row r="787" customFormat="false" ht="18.75" hidden="false" customHeight="true" outlineLevel="0" collapsed="false">
      <c r="B787" s="33"/>
      <c r="C787" s="29"/>
    </row>
    <row r="788" customFormat="false" ht="18.75" hidden="false" customHeight="true" outlineLevel="0" collapsed="false">
      <c r="B788" s="33"/>
      <c r="C788" s="29"/>
    </row>
    <row r="789" customFormat="false" ht="18.75" hidden="false" customHeight="true" outlineLevel="0" collapsed="false">
      <c r="B789" s="33"/>
      <c r="C789" s="29"/>
    </row>
    <row r="790" customFormat="false" ht="18.75" hidden="false" customHeight="true" outlineLevel="0" collapsed="false">
      <c r="B790" s="33"/>
      <c r="C790" s="29"/>
    </row>
    <row r="791" customFormat="false" ht="18.75" hidden="false" customHeight="true" outlineLevel="0" collapsed="false">
      <c r="B791" s="33"/>
      <c r="C791" s="29"/>
    </row>
    <row r="792" customFormat="false" ht="18.75" hidden="false" customHeight="true" outlineLevel="0" collapsed="false">
      <c r="B792" s="33"/>
      <c r="C792" s="29"/>
    </row>
    <row r="793" customFormat="false" ht="18.75" hidden="false" customHeight="true" outlineLevel="0" collapsed="false">
      <c r="B793" s="33"/>
      <c r="C793" s="29"/>
    </row>
    <row r="794" customFormat="false" ht="18.75" hidden="false" customHeight="true" outlineLevel="0" collapsed="false">
      <c r="B794" s="33"/>
      <c r="C794" s="29"/>
    </row>
    <row r="795" customFormat="false" ht="18.75" hidden="false" customHeight="true" outlineLevel="0" collapsed="false">
      <c r="B795" s="33"/>
      <c r="C795" s="29"/>
    </row>
    <row r="796" customFormat="false" ht="18.75" hidden="false" customHeight="true" outlineLevel="0" collapsed="false">
      <c r="B796" s="33"/>
      <c r="C796" s="29"/>
    </row>
    <row r="797" customFormat="false" ht="18.75" hidden="false" customHeight="true" outlineLevel="0" collapsed="false">
      <c r="B797" s="33"/>
      <c r="C797" s="29"/>
    </row>
    <row r="798" customFormat="false" ht="18.75" hidden="false" customHeight="true" outlineLevel="0" collapsed="false">
      <c r="B798" s="33"/>
      <c r="C798" s="29"/>
    </row>
    <row r="799" customFormat="false" ht="18.75" hidden="false" customHeight="true" outlineLevel="0" collapsed="false">
      <c r="B799" s="33"/>
      <c r="C799" s="29"/>
    </row>
    <row r="800" customFormat="false" ht="18.75" hidden="false" customHeight="true" outlineLevel="0" collapsed="false">
      <c r="B800" s="33"/>
      <c r="C800" s="29"/>
    </row>
    <row r="801" customFormat="false" ht="18.75" hidden="false" customHeight="true" outlineLevel="0" collapsed="false">
      <c r="B801" s="33"/>
      <c r="C801" s="29"/>
    </row>
    <row r="802" customFormat="false" ht="18.75" hidden="false" customHeight="true" outlineLevel="0" collapsed="false">
      <c r="B802" s="33"/>
      <c r="C802" s="29"/>
    </row>
    <row r="803" customFormat="false" ht="18.75" hidden="false" customHeight="true" outlineLevel="0" collapsed="false">
      <c r="B803" s="33"/>
      <c r="C803" s="29"/>
    </row>
    <row r="804" customFormat="false" ht="18.75" hidden="false" customHeight="true" outlineLevel="0" collapsed="false">
      <c r="B804" s="33"/>
      <c r="C804" s="29"/>
    </row>
    <row r="805" customFormat="false" ht="18.75" hidden="false" customHeight="true" outlineLevel="0" collapsed="false">
      <c r="B805" s="33"/>
      <c r="C805" s="29"/>
    </row>
    <row r="806" customFormat="false" ht="18.75" hidden="false" customHeight="true" outlineLevel="0" collapsed="false">
      <c r="B806" s="33"/>
      <c r="C806" s="29"/>
    </row>
    <row r="807" customFormat="false" ht="18.75" hidden="false" customHeight="true" outlineLevel="0" collapsed="false">
      <c r="B807" s="33"/>
      <c r="C807" s="29"/>
    </row>
    <row r="808" customFormat="false" ht="18.75" hidden="false" customHeight="true" outlineLevel="0" collapsed="false">
      <c r="B808" s="33"/>
      <c r="C808" s="29"/>
    </row>
    <row r="809" customFormat="false" ht="18.75" hidden="false" customHeight="true" outlineLevel="0" collapsed="false">
      <c r="B809" s="33"/>
      <c r="C809" s="29"/>
    </row>
    <row r="810" customFormat="false" ht="18.75" hidden="false" customHeight="true" outlineLevel="0" collapsed="false">
      <c r="B810" s="33"/>
      <c r="C810" s="29"/>
    </row>
    <row r="811" customFormat="false" ht="18.75" hidden="false" customHeight="true" outlineLevel="0" collapsed="false">
      <c r="B811" s="33"/>
      <c r="C811" s="29"/>
    </row>
    <row r="812" customFormat="false" ht="18.75" hidden="false" customHeight="true" outlineLevel="0" collapsed="false">
      <c r="B812" s="33"/>
      <c r="C812" s="29"/>
    </row>
    <row r="813" customFormat="false" ht="18.75" hidden="false" customHeight="true" outlineLevel="0" collapsed="false">
      <c r="B813" s="33"/>
      <c r="C813" s="29"/>
    </row>
    <row r="814" customFormat="false" ht="18.75" hidden="false" customHeight="true" outlineLevel="0" collapsed="false">
      <c r="B814" s="33"/>
      <c r="C814" s="29"/>
    </row>
    <row r="815" customFormat="false" ht="18.75" hidden="false" customHeight="true" outlineLevel="0" collapsed="false">
      <c r="B815" s="33"/>
      <c r="C815" s="29"/>
    </row>
    <row r="816" customFormat="false" ht="18.75" hidden="false" customHeight="true" outlineLevel="0" collapsed="false">
      <c r="B816" s="33"/>
      <c r="C816" s="29"/>
    </row>
    <row r="817" customFormat="false" ht="18.75" hidden="false" customHeight="true" outlineLevel="0" collapsed="false">
      <c r="B817" s="33"/>
      <c r="C817" s="29"/>
    </row>
    <row r="818" customFormat="false" ht="18.75" hidden="false" customHeight="true" outlineLevel="0" collapsed="false">
      <c r="B818" s="33"/>
      <c r="C818" s="29"/>
    </row>
    <row r="819" customFormat="false" ht="18.75" hidden="false" customHeight="true" outlineLevel="0" collapsed="false">
      <c r="B819" s="33"/>
      <c r="C819" s="29"/>
    </row>
    <row r="820" customFormat="false" ht="18.75" hidden="false" customHeight="true" outlineLevel="0" collapsed="false">
      <c r="B820" s="33"/>
      <c r="C820" s="29"/>
    </row>
    <row r="821" customFormat="false" ht="18.75" hidden="false" customHeight="true" outlineLevel="0" collapsed="false">
      <c r="B821" s="33"/>
      <c r="C821" s="29"/>
    </row>
    <row r="822" customFormat="false" ht="18.75" hidden="false" customHeight="true" outlineLevel="0" collapsed="false">
      <c r="B822" s="33"/>
      <c r="C822" s="29"/>
    </row>
    <row r="823" customFormat="false" ht="18.75" hidden="false" customHeight="true" outlineLevel="0" collapsed="false">
      <c r="B823" s="33"/>
      <c r="C823" s="29"/>
    </row>
    <row r="824" customFormat="false" ht="18.75" hidden="false" customHeight="true" outlineLevel="0" collapsed="false">
      <c r="B824" s="33"/>
      <c r="C824" s="29"/>
    </row>
    <row r="825" customFormat="false" ht="18.75" hidden="false" customHeight="true" outlineLevel="0" collapsed="false">
      <c r="B825" s="33"/>
      <c r="C825" s="29"/>
    </row>
    <row r="826" customFormat="false" ht="18.75" hidden="false" customHeight="true" outlineLevel="0" collapsed="false">
      <c r="B826" s="33"/>
      <c r="C826" s="29"/>
    </row>
    <row r="827" customFormat="false" ht="18.75" hidden="false" customHeight="true" outlineLevel="0" collapsed="false">
      <c r="B827" s="33"/>
      <c r="C827" s="29"/>
    </row>
    <row r="828" customFormat="false" ht="18.75" hidden="false" customHeight="true" outlineLevel="0" collapsed="false">
      <c r="B828" s="33"/>
      <c r="C828" s="29"/>
    </row>
    <row r="829" customFormat="false" ht="18.75" hidden="false" customHeight="true" outlineLevel="0" collapsed="false">
      <c r="B829" s="33"/>
      <c r="C829" s="29"/>
    </row>
    <row r="830" customFormat="false" ht="18.75" hidden="false" customHeight="true" outlineLevel="0" collapsed="false">
      <c r="B830" s="33"/>
      <c r="C830" s="29"/>
    </row>
    <row r="831" customFormat="false" ht="18.75" hidden="false" customHeight="true" outlineLevel="0" collapsed="false">
      <c r="B831" s="33"/>
      <c r="C831" s="29"/>
    </row>
    <row r="832" customFormat="false" ht="18.75" hidden="false" customHeight="true" outlineLevel="0" collapsed="false">
      <c r="B832" s="33"/>
      <c r="C832" s="29"/>
    </row>
    <row r="833" customFormat="false" ht="18.75" hidden="false" customHeight="true" outlineLevel="0" collapsed="false">
      <c r="B833" s="33"/>
      <c r="C833" s="29"/>
    </row>
    <row r="834" customFormat="false" ht="18.75" hidden="false" customHeight="true" outlineLevel="0" collapsed="false">
      <c r="B834" s="33"/>
      <c r="C834" s="29"/>
    </row>
    <row r="835" customFormat="false" ht="18.75" hidden="false" customHeight="true" outlineLevel="0" collapsed="false">
      <c r="B835" s="33"/>
      <c r="C835" s="29"/>
    </row>
    <row r="836" customFormat="false" ht="18.75" hidden="false" customHeight="true" outlineLevel="0" collapsed="false">
      <c r="B836" s="33"/>
      <c r="C836" s="29"/>
    </row>
    <row r="837" customFormat="false" ht="18.75" hidden="false" customHeight="true" outlineLevel="0" collapsed="false">
      <c r="B837" s="33"/>
      <c r="C837" s="29"/>
    </row>
    <row r="838" customFormat="false" ht="18.75" hidden="false" customHeight="true" outlineLevel="0" collapsed="false">
      <c r="B838" s="33"/>
      <c r="C838" s="29"/>
    </row>
    <row r="839" customFormat="false" ht="18.75" hidden="false" customHeight="true" outlineLevel="0" collapsed="false">
      <c r="B839" s="33"/>
      <c r="C839" s="29"/>
    </row>
    <row r="840" customFormat="false" ht="18.75" hidden="false" customHeight="true" outlineLevel="0" collapsed="false">
      <c r="B840" s="33"/>
      <c r="C840" s="29"/>
    </row>
    <row r="841" customFormat="false" ht="18.75" hidden="false" customHeight="true" outlineLevel="0" collapsed="false">
      <c r="B841" s="33"/>
      <c r="C841" s="29"/>
    </row>
    <row r="842" customFormat="false" ht="18.75" hidden="false" customHeight="true" outlineLevel="0" collapsed="false">
      <c r="B842" s="33"/>
      <c r="C842" s="29"/>
    </row>
    <row r="843" customFormat="false" ht="18.75" hidden="false" customHeight="true" outlineLevel="0" collapsed="false">
      <c r="B843" s="33"/>
      <c r="C843" s="29"/>
    </row>
    <row r="844" customFormat="false" ht="18.75" hidden="false" customHeight="true" outlineLevel="0" collapsed="false">
      <c r="B844" s="33"/>
      <c r="C844" s="29"/>
    </row>
    <row r="845" customFormat="false" ht="18.75" hidden="false" customHeight="true" outlineLevel="0" collapsed="false">
      <c r="B845" s="33"/>
      <c r="C845" s="29"/>
    </row>
    <row r="846" customFormat="false" ht="18.75" hidden="false" customHeight="true" outlineLevel="0" collapsed="false">
      <c r="B846" s="33"/>
      <c r="C846" s="29"/>
    </row>
    <row r="847" customFormat="false" ht="18.75" hidden="false" customHeight="true" outlineLevel="0" collapsed="false">
      <c r="B847" s="33"/>
      <c r="C847" s="29"/>
    </row>
    <row r="848" customFormat="false" ht="18.75" hidden="false" customHeight="true" outlineLevel="0" collapsed="false">
      <c r="B848" s="33"/>
      <c r="C848" s="29"/>
    </row>
    <row r="849" customFormat="false" ht="18.75" hidden="false" customHeight="true" outlineLevel="0" collapsed="false">
      <c r="B849" s="33"/>
      <c r="C849" s="29"/>
    </row>
    <row r="850" customFormat="false" ht="18.75" hidden="false" customHeight="true" outlineLevel="0" collapsed="false">
      <c r="B850" s="33"/>
      <c r="C850" s="29"/>
    </row>
    <row r="851" customFormat="false" ht="18.75" hidden="false" customHeight="true" outlineLevel="0" collapsed="false">
      <c r="B851" s="33"/>
      <c r="C851" s="29"/>
    </row>
    <row r="852" customFormat="false" ht="18.75" hidden="false" customHeight="true" outlineLevel="0" collapsed="false">
      <c r="B852" s="33"/>
      <c r="C852" s="29"/>
    </row>
    <row r="853" customFormat="false" ht="18.75" hidden="false" customHeight="true" outlineLevel="0" collapsed="false">
      <c r="B853" s="33"/>
      <c r="C853" s="29"/>
    </row>
    <row r="854" customFormat="false" ht="18.75" hidden="false" customHeight="true" outlineLevel="0" collapsed="false">
      <c r="B854" s="33"/>
      <c r="C854" s="29"/>
    </row>
    <row r="855" customFormat="false" ht="18.75" hidden="false" customHeight="true" outlineLevel="0" collapsed="false">
      <c r="B855" s="33"/>
      <c r="C855" s="29"/>
    </row>
    <row r="856" customFormat="false" ht="18.75" hidden="false" customHeight="true" outlineLevel="0" collapsed="false">
      <c r="B856" s="33"/>
      <c r="C856" s="29"/>
    </row>
    <row r="857" customFormat="false" ht="18.75" hidden="false" customHeight="true" outlineLevel="0" collapsed="false">
      <c r="B857" s="33"/>
      <c r="C857" s="29"/>
    </row>
    <row r="858" customFormat="false" ht="18.75" hidden="false" customHeight="true" outlineLevel="0" collapsed="false">
      <c r="B858" s="33"/>
      <c r="C858" s="29"/>
    </row>
    <row r="859" customFormat="false" ht="18.75" hidden="false" customHeight="true" outlineLevel="0" collapsed="false">
      <c r="B859" s="33"/>
      <c r="C859" s="29"/>
    </row>
    <row r="860" customFormat="false" ht="18.75" hidden="false" customHeight="true" outlineLevel="0" collapsed="false">
      <c r="B860" s="33"/>
      <c r="C860" s="29"/>
    </row>
    <row r="861" customFormat="false" ht="18.75" hidden="false" customHeight="true" outlineLevel="0" collapsed="false">
      <c r="B861" s="33"/>
      <c r="C861" s="29"/>
    </row>
    <row r="862" customFormat="false" ht="18.75" hidden="false" customHeight="true" outlineLevel="0" collapsed="false">
      <c r="B862" s="33"/>
      <c r="C862" s="29"/>
    </row>
    <row r="863" customFormat="false" ht="18.75" hidden="false" customHeight="true" outlineLevel="0" collapsed="false">
      <c r="B863" s="33"/>
      <c r="C863" s="29"/>
    </row>
    <row r="864" customFormat="false" ht="18.75" hidden="false" customHeight="true" outlineLevel="0" collapsed="false">
      <c r="B864" s="33"/>
      <c r="C864" s="29"/>
    </row>
    <row r="865" customFormat="false" ht="18.75" hidden="false" customHeight="true" outlineLevel="0" collapsed="false">
      <c r="B865" s="33"/>
      <c r="C865" s="29"/>
    </row>
    <row r="866" customFormat="false" ht="18.75" hidden="false" customHeight="true" outlineLevel="0" collapsed="false">
      <c r="B866" s="33"/>
      <c r="C866" s="29"/>
    </row>
    <row r="867" customFormat="false" ht="18.75" hidden="false" customHeight="true" outlineLevel="0" collapsed="false">
      <c r="B867" s="33"/>
      <c r="C867" s="29"/>
    </row>
    <row r="868" customFormat="false" ht="18.75" hidden="false" customHeight="true" outlineLevel="0" collapsed="false">
      <c r="B868" s="33"/>
      <c r="C868" s="29"/>
    </row>
    <row r="869" customFormat="false" ht="18.75" hidden="false" customHeight="true" outlineLevel="0" collapsed="false">
      <c r="B869" s="33"/>
      <c r="C869" s="29"/>
    </row>
    <row r="870" customFormat="false" ht="18.75" hidden="false" customHeight="true" outlineLevel="0" collapsed="false">
      <c r="B870" s="33"/>
      <c r="C870" s="29"/>
    </row>
    <row r="871" customFormat="false" ht="18.75" hidden="false" customHeight="true" outlineLevel="0" collapsed="false">
      <c r="B871" s="33"/>
      <c r="C871" s="29"/>
    </row>
    <row r="872" customFormat="false" ht="18.75" hidden="false" customHeight="true" outlineLevel="0" collapsed="false">
      <c r="B872" s="33"/>
      <c r="C872" s="29"/>
    </row>
    <row r="873" customFormat="false" ht="18.75" hidden="false" customHeight="true" outlineLevel="0" collapsed="false">
      <c r="B873" s="33"/>
      <c r="C873" s="29"/>
    </row>
    <row r="874" customFormat="false" ht="18.75" hidden="false" customHeight="true" outlineLevel="0" collapsed="false">
      <c r="B874" s="33"/>
      <c r="C874" s="29"/>
    </row>
    <row r="875" customFormat="false" ht="18.75" hidden="false" customHeight="true" outlineLevel="0" collapsed="false">
      <c r="B875" s="33"/>
      <c r="C875" s="29"/>
    </row>
    <row r="876" customFormat="false" ht="18.75" hidden="false" customHeight="true" outlineLevel="0" collapsed="false">
      <c r="B876" s="33"/>
      <c r="C876" s="29"/>
    </row>
    <row r="877" customFormat="false" ht="18.75" hidden="false" customHeight="true" outlineLevel="0" collapsed="false">
      <c r="B877" s="33"/>
      <c r="C877" s="29"/>
    </row>
    <row r="878" customFormat="false" ht="18.75" hidden="false" customHeight="true" outlineLevel="0" collapsed="false">
      <c r="B878" s="33"/>
      <c r="C878" s="29"/>
    </row>
    <row r="879" customFormat="false" ht="18.75" hidden="false" customHeight="true" outlineLevel="0" collapsed="false">
      <c r="B879" s="33"/>
      <c r="C879" s="29"/>
    </row>
    <row r="880" customFormat="false" ht="18.75" hidden="false" customHeight="true" outlineLevel="0" collapsed="false">
      <c r="B880" s="33"/>
      <c r="C880" s="29"/>
    </row>
    <row r="881" customFormat="false" ht="18.75" hidden="false" customHeight="true" outlineLevel="0" collapsed="false">
      <c r="B881" s="33"/>
      <c r="C881" s="29"/>
    </row>
    <row r="882" customFormat="false" ht="18.75" hidden="false" customHeight="true" outlineLevel="0" collapsed="false">
      <c r="B882" s="33"/>
      <c r="C882" s="29"/>
    </row>
    <row r="883" customFormat="false" ht="18.75" hidden="false" customHeight="true" outlineLevel="0" collapsed="false">
      <c r="B883" s="33"/>
      <c r="C883" s="29"/>
    </row>
    <row r="884" customFormat="false" ht="18.75" hidden="false" customHeight="true" outlineLevel="0" collapsed="false">
      <c r="B884" s="33"/>
      <c r="C884" s="29"/>
    </row>
    <row r="885" customFormat="false" ht="18.75" hidden="false" customHeight="true" outlineLevel="0" collapsed="false">
      <c r="B885" s="33"/>
      <c r="C885" s="29"/>
    </row>
    <row r="886" customFormat="false" ht="18.75" hidden="false" customHeight="true" outlineLevel="0" collapsed="false">
      <c r="B886" s="33"/>
      <c r="C886" s="29"/>
    </row>
    <row r="887" customFormat="false" ht="18.75" hidden="false" customHeight="true" outlineLevel="0" collapsed="false">
      <c r="B887" s="33"/>
      <c r="C887" s="29"/>
    </row>
    <row r="888" customFormat="false" ht="18.75" hidden="false" customHeight="true" outlineLevel="0" collapsed="false">
      <c r="B888" s="33"/>
      <c r="C888" s="29"/>
    </row>
    <row r="889" customFormat="false" ht="18.75" hidden="false" customHeight="true" outlineLevel="0" collapsed="false">
      <c r="B889" s="33"/>
      <c r="C889" s="29"/>
    </row>
    <row r="890" customFormat="false" ht="18.75" hidden="false" customHeight="true" outlineLevel="0" collapsed="false">
      <c r="B890" s="33"/>
      <c r="C890" s="29"/>
    </row>
    <row r="891" customFormat="false" ht="18.75" hidden="false" customHeight="true" outlineLevel="0" collapsed="false">
      <c r="B891" s="33"/>
      <c r="C891" s="29"/>
    </row>
    <row r="892" customFormat="false" ht="18.75" hidden="false" customHeight="true" outlineLevel="0" collapsed="false">
      <c r="B892" s="33"/>
      <c r="C892" s="29"/>
    </row>
    <row r="893" customFormat="false" ht="18.75" hidden="false" customHeight="true" outlineLevel="0" collapsed="false">
      <c r="B893" s="33"/>
      <c r="C893" s="29"/>
    </row>
    <row r="894" customFormat="false" ht="18.75" hidden="false" customHeight="true" outlineLevel="0" collapsed="false">
      <c r="B894" s="33"/>
      <c r="C894" s="29"/>
    </row>
    <row r="895" customFormat="false" ht="18.75" hidden="false" customHeight="true" outlineLevel="0" collapsed="false">
      <c r="B895" s="33"/>
      <c r="C895" s="29"/>
    </row>
    <row r="896" customFormat="false" ht="18.75" hidden="false" customHeight="true" outlineLevel="0" collapsed="false">
      <c r="B896" s="33"/>
      <c r="C896" s="29"/>
    </row>
    <row r="897" customFormat="false" ht="18.75" hidden="false" customHeight="true" outlineLevel="0" collapsed="false">
      <c r="B897" s="33"/>
      <c r="C897" s="29"/>
    </row>
    <row r="898" customFormat="false" ht="18.75" hidden="false" customHeight="true" outlineLevel="0" collapsed="false">
      <c r="B898" s="33"/>
      <c r="C898" s="29"/>
    </row>
    <row r="899" customFormat="false" ht="18.75" hidden="false" customHeight="true" outlineLevel="0" collapsed="false">
      <c r="B899" s="33"/>
      <c r="C899" s="29"/>
    </row>
    <row r="900" customFormat="false" ht="18.75" hidden="false" customHeight="true" outlineLevel="0" collapsed="false">
      <c r="B900" s="33"/>
      <c r="C900" s="29"/>
    </row>
    <row r="901" customFormat="false" ht="18.75" hidden="false" customHeight="true" outlineLevel="0" collapsed="false">
      <c r="B901" s="33"/>
      <c r="C901" s="29"/>
    </row>
    <row r="902" customFormat="false" ht="18.75" hidden="false" customHeight="true" outlineLevel="0" collapsed="false">
      <c r="B902" s="33"/>
      <c r="C902" s="29"/>
    </row>
    <row r="903" customFormat="false" ht="18.75" hidden="false" customHeight="true" outlineLevel="0" collapsed="false">
      <c r="B903" s="33"/>
      <c r="C903" s="29"/>
    </row>
    <row r="904" customFormat="false" ht="18.75" hidden="false" customHeight="true" outlineLevel="0" collapsed="false">
      <c r="B904" s="33"/>
      <c r="C904" s="29"/>
    </row>
    <row r="905" customFormat="false" ht="18.75" hidden="false" customHeight="true" outlineLevel="0" collapsed="false">
      <c r="B905" s="33"/>
      <c r="C905" s="29"/>
    </row>
    <row r="906" customFormat="false" ht="18.75" hidden="false" customHeight="true" outlineLevel="0" collapsed="false">
      <c r="B906" s="33"/>
      <c r="C906" s="29"/>
    </row>
    <row r="907" customFormat="false" ht="18.75" hidden="false" customHeight="true" outlineLevel="0" collapsed="false">
      <c r="B907" s="33"/>
      <c r="C907" s="29"/>
    </row>
    <row r="908" customFormat="false" ht="18.75" hidden="false" customHeight="true" outlineLevel="0" collapsed="false">
      <c r="B908" s="33"/>
      <c r="C908" s="29"/>
    </row>
    <row r="909" customFormat="false" ht="18.75" hidden="false" customHeight="true" outlineLevel="0" collapsed="false">
      <c r="B909" s="33"/>
      <c r="C909" s="29"/>
    </row>
    <row r="910" customFormat="false" ht="18.75" hidden="false" customHeight="true" outlineLevel="0" collapsed="false">
      <c r="B910" s="33"/>
      <c r="C910" s="29"/>
    </row>
    <row r="911" customFormat="false" ht="18.75" hidden="false" customHeight="true" outlineLevel="0" collapsed="false">
      <c r="B911" s="33"/>
      <c r="C911" s="29"/>
    </row>
    <row r="912" customFormat="false" ht="18.75" hidden="false" customHeight="true" outlineLevel="0" collapsed="false">
      <c r="B912" s="33"/>
      <c r="C912" s="29"/>
    </row>
    <row r="913" customFormat="false" ht="18.75" hidden="false" customHeight="true" outlineLevel="0" collapsed="false">
      <c r="B913" s="33"/>
      <c r="C913" s="29"/>
    </row>
    <row r="914" customFormat="false" ht="18.75" hidden="false" customHeight="true" outlineLevel="0" collapsed="false">
      <c r="B914" s="33"/>
      <c r="C914" s="29"/>
    </row>
    <row r="915" customFormat="false" ht="18.75" hidden="false" customHeight="true" outlineLevel="0" collapsed="false">
      <c r="B915" s="33"/>
      <c r="C915" s="29"/>
    </row>
    <row r="916" customFormat="false" ht="18.75" hidden="false" customHeight="true" outlineLevel="0" collapsed="false">
      <c r="B916" s="33"/>
      <c r="C916" s="29"/>
    </row>
    <row r="917" customFormat="false" ht="18.75" hidden="false" customHeight="true" outlineLevel="0" collapsed="false">
      <c r="B917" s="33"/>
      <c r="C917" s="29"/>
    </row>
    <row r="918" customFormat="false" ht="18.75" hidden="false" customHeight="true" outlineLevel="0" collapsed="false">
      <c r="B918" s="33"/>
      <c r="C918" s="29"/>
    </row>
    <row r="919" customFormat="false" ht="18.75" hidden="false" customHeight="true" outlineLevel="0" collapsed="false">
      <c r="B919" s="33"/>
      <c r="C919" s="29"/>
    </row>
    <row r="920" customFormat="false" ht="18.75" hidden="false" customHeight="true" outlineLevel="0" collapsed="false">
      <c r="B920" s="33"/>
      <c r="C920" s="29"/>
    </row>
    <row r="921" customFormat="false" ht="18.75" hidden="false" customHeight="true" outlineLevel="0" collapsed="false">
      <c r="B921" s="33"/>
      <c r="C921" s="29"/>
    </row>
    <row r="922" customFormat="false" ht="18.75" hidden="false" customHeight="true" outlineLevel="0" collapsed="false">
      <c r="B922" s="33"/>
      <c r="C922" s="29"/>
    </row>
    <row r="923" customFormat="false" ht="18.75" hidden="false" customHeight="true" outlineLevel="0" collapsed="false">
      <c r="B923" s="33"/>
      <c r="C923" s="29"/>
    </row>
    <row r="924" customFormat="false" ht="18.75" hidden="false" customHeight="true" outlineLevel="0" collapsed="false">
      <c r="B924" s="33"/>
      <c r="C924" s="29"/>
    </row>
    <row r="925" customFormat="false" ht="18.75" hidden="false" customHeight="true" outlineLevel="0" collapsed="false">
      <c r="B925" s="33"/>
      <c r="C925" s="29"/>
    </row>
    <row r="926" customFormat="false" ht="18.75" hidden="false" customHeight="true" outlineLevel="0" collapsed="false">
      <c r="B926" s="33"/>
      <c r="C926" s="29"/>
    </row>
    <row r="927" customFormat="false" ht="18.75" hidden="false" customHeight="true" outlineLevel="0" collapsed="false">
      <c r="B927" s="33"/>
      <c r="C927" s="29"/>
    </row>
    <row r="928" customFormat="false" ht="18.75" hidden="false" customHeight="true" outlineLevel="0" collapsed="false">
      <c r="B928" s="33"/>
      <c r="C928" s="29"/>
    </row>
    <row r="929" customFormat="false" ht="18.75" hidden="false" customHeight="true" outlineLevel="0" collapsed="false">
      <c r="B929" s="33"/>
      <c r="C929" s="29"/>
    </row>
    <row r="930" customFormat="false" ht="18.75" hidden="false" customHeight="true" outlineLevel="0" collapsed="false">
      <c r="B930" s="33"/>
      <c r="C930" s="29"/>
    </row>
    <row r="931" customFormat="false" ht="18.75" hidden="false" customHeight="true" outlineLevel="0" collapsed="false">
      <c r="B931" s="33"/>
      <c r="C931" s="29"/>
    </row>
    <row r="932" customFormat="false" ht="18.75" hidden="false" customHeight="true" outlineLevel="0" collapsed="false">
      <c r="B932" s="33"/>
      <c r="C932" s="29"/>
    </row>
    <row r="933" customFormat="false" ht="18.75" hidden="false" customHeight="true" outlineLevel="0" collapsed="false">
      <c r="B933" s="33"/>
      <c r="C933" s="29"/>
    </row>
    <row r="934" customFormat="false" ht="18.75" hidden="false" customHeight="true" outlineLevel="0" collapsed="false">
      <c r="B934" s="33"/>
      <c r="C934" s="29"/>
    </row>
    <row r="935" customFormat="false" ht="18.75" hidden="false" customHeight="true" outlineLevel="0" collapsed="false">
      <c r="B935" s="33"/>
      <c r="C935" s="29"/>
    </row>
    <row r="936" customFormat="false" ht="18.75" hidden="false" customHeight="true" outlineLevel="0" collapsed="false">
      <c r="B936" s="33"/>
      <c r="C936" s="29"/>
    </row>
    <row r="937" customFormat="false" ht="18.75" hidden="false" customHeight="true" outlineLevel="0" collapsed="false">
      <c r="B937" s="33"/>
      <c r="C937" s="29"/>
    </row>
    <row r="938" customFormat="false" ht="18.75" hidden="false" customHeight="true" outlineLevel="0" collapsed="false">
      <c r="B938" s="33"/>
      <c r="C938" s="29"/>
    </row>
    <row r="939" customFormat="false" ht="18.75" hidden="false" customHeight="true" outlineLevel="0" collapsed="false">
      <c r="B939" s="33"/>
      <c r="C939" s="29"/>
    </row>
    <row r="940" customFormat="false" ht="18.75" hidden="false" customHeight="true" outlineLevel="0" collapsed="false">
      <c r="B940" s="33"/>
      <c r="C940" s="29"/>
    </row>
    <row r="941" customFormat="false" ht="18.75" hidden="false" customHeight="true" outlineLevel="0" collapsed="false">
      <c r="B941" s="33"/>
      <c r="C941" s="29"/>
    </row>
    <row r="942" customFormat="false" ht="18.75" hidden="false" customHeight="true" outlineLevel="0" collapsed="false">
      <c r="B942" s="33"/>
      <c r="C942" s="29"/>
    </row>
    <row r="943" customFormat="false" ht="18.75" hidden="false" customHeight="true" outlineLevel="0" collapsed="false">
      <c r="B943" s="33"/>
      <c r="C943" s="29"/>
    </row>
    <row r="944" customFormat="false" ht="18.75" hidden="false" customHeight="true" outlineLevel="0" collapsed="false">
      <c r="B944" s="33"/>
      <c r="C944" s="29"/>
    </row>
    <row r="945" customFormat="false" ht="18.75" hidden="false" customHeight="true" outlineLevel="0" collapsed="false">
      <c r="B945" s="33"/>
      <c r="C945" s="29"/>
    </row>
    <row r="946" customFormat="false" ht="18.75" hidden="false" customHeight="true" outlineLevel="0" collapsed="false">
      <c r="B946" s="33"/>
      <c r="C946" s="29"/>
    </row>
    <row r="947" customFormat="false" ht="18.75" hidden="false" customHeight="true" outlineLevel="0" collapsed="false">
      <c r="B947" s="33"/>
      <c r="C947" s="29"/>
    </row>
    <row r="948" customFormat="false" ht="18.75" hidden="false" customHeight="true" outlineLevel="0" collapsed="false">
      <c r="B948" s="33"/>
      <c r="C948" s="29"/>
    </row>
    <row r="949" customFormat="false" ht="18.75" hidden="false" customHeight="true" outlineLevel="0" collapsed="false">
      <c r="B949" s="33"/>
      <c r="C949" s="29"/>
    </row>
    <row r="950" customFormat="false" ht="18.75" hidden="false" customHeight="true" outlineLevel="0" collapsed="false">
      <c r="B950" s="33"/>
      <c r="C950" s="29"/>
    </row>
    <row r="951" customFormat="false" ht="18.75" hidden="false" customHeight="true" outlineLevel="0" collapsed="false">
      <c r="B951" s="33"/>
      <c r="C951" s="29"/>
    </row>
    <row r="952" customFormat="false" ht="18.75" hidden="false" customHeight="true" outlineLevel="0" collapsed="false">
      <c r="B952" s="33"/>
      <c r="C952" s="29"/>
    </row>
    <row r="953" customFormat="false" ht="18.75" hidden="false" customHeight="true" outlineLevel="0" collapsed="false">
      <c r="B953" s="33"/>
      <c r="C953" s="29"/>
    </row>
    <row r="954" customFormat="false" ht="18.75" hidden="false" customHeight="true" outlineLevel="0" collapsed="false">
      <c r="B954" s="33"/>
      <c r="C954" s="29"/>
    </row>
    <row r="955" customFormat="false" ht="18.75" hidden="false" customHeight="true" outlineLevel="0" collapsed="false">
      <c r="B955" s="33"/>
      <c r="C955" s="29"/>
    </row>
    <row r="956" customFormat="false" ht="18.75" hidden="false" customHeight="true" outlineLevel="0" collapsed="false">
      <c r="B956" s="33"/>
      <c r="C956" s="29"/>
    </row>
    <row r="957" customFormat="false" ht="18.75" hidden="false" customHeight="true" outlineLevel="0" collapsed="false">
      <c r="B957" s="33"/>
      <c r="C957" s="29"/>
    </row>
    <row r="958" customFormat="false" ht="18.75" hidden="false" customHeight="true" outlineLevel="0" collapsed="false">
      <c r="B958" s="33"/>
      <c r="C958" s="29"/>
    </row>
    <row r="959" customFormat="false" ht="18.75" hidden="false" customHeight="true" outlineLevel="0" collapsed="false">
      <c r="B959" s="33"/>
      <c r="C959" s="29"/>
    </row>
    <row r="960" customFormat="false" ht="18.75" hidden="false" customHeight="true" outlineLevel="0" collapsed="false">
      <c r="B960" s="33"/>
      <c r="C960" s="29"/>
    </row>
    <row r="961" customFormat="false" ht="18.75" hidden="false" customHeight="true" outlineLevel="0" collapsed="false">
      <c r="B961" s="33"/>
      <c r="C961" s="29"/>
    </row>
    <row r="962" customFormat="false" ht="18.75" hidden="false" customHeight="true" outlineLevel="0" collapsed="false">
      <c r="B962" s="33"/>
      <c r="C962" s="29"/>
    </row>
    <row r="963" customFormat="false" ht="18.75" hidden="false" customHeight="true" outlineLevel="0" collapsed="false">
      <c r="B963" s="33"/>
      <c r="C963" s="29"/>
    </row>
    <row r="964" customFormat="false" ht="18.75" hidden="false" customHeight="true" outlineLevel="0" collapsed="false">
      <c r="B964" s="33"/>
      <c r="C964" s="29"/>
    </row>
    <row r="965" customFormat="false" ht="18.75" hidden="false" customHeight="true" outlineLevel="0" collapsed="false">
      <c r="B965" s="33"/>
      <c r="C965" s="29"/>
    </row>
    <row r="966" customFormat="false" ht="18.75" hidden="false" customHeight="true" outlineLevel="0" collapsed="false">
      <c r="B966" s="33"/>
      <c r="C966" s="29"/>
    </row>
    <row r="967" customFormat="false" ht="18.75" hidden="false" customHeight="true" outlineLevel="0" collapsed="false">
      <c r="B967" s="33"/>
      <c r="C967" s="29"/>
    </row>
    <row r="968" customFormat="false" ht="18.75" hidden="false" customHeight="true" outlineLevel="0" collapsed="false">
      <c r="B968" s="33"/>
      <c r="C968" s="29"/>
    </row>
    <row r="969" customFormat="false" ht="18.75" hidden="false" customHeight="true" outlineLevel="0" collapsed="false">
      <c r="B969" s="33"/>
      <c r="C969" s="29"/>
    </row>
    <row r="970" customFormat="false" ht="18.75" hidden="false" customHeight="true" outlineLevel="0" collapsed="false">
      <c r="B970" s="33"/>
      <c r="C970" s="29"/>
    </row>
    <row r="971" customFormat="false" ht="18.75" hidden="false" customHeight="true" outlineLevel="0" collapsed="false">
      <c r="B971" s="33"/>
      <c r="C971" s="29"/>
    </row>
    <row r="972" customFormat="false" ht="18.75" hidden="false" customHeight="true" outlineLevel="0" collapsed="false">
      <c r="B972" s="33"/>
      <c r="C972" s="29"/>
    </row>
    <row r="973" customFormat="false" ht="18.75" hidden="false" customHeight="true" outlineLevel="0" collapsed="false">
      <c r="B973" s="33"/>
      <c r="C973" s="29"/>
    </row>
    <row r="974" customFormat="false" ht="18.75" hidden="false" customHeight="true" outlineLevel="0" collapsed="false">
      <c r="B974" s="33"/>
      <c r="C974" s="29"/>
    </row>
    <row r="975" customFormat="false" ht="18.75" hidden="false" customHeight="true" outlineLevel="0" collapsed="false">
      <c r="B975" s="33"/>
      <c r="C975" s="29"/>
    </row>
    <row r="976" customFormat="false" ht="18.75" hidden="false" customHeight="true" outlineLevel="0" collapsed="false">
      <c r="B976" s="33"/>
      <c r="C976" s="29"/>
    </row>
    <row r="977" customFormat="false" ht="18.75" hidden="false" customHeight="true" outlineLevel="0" collapsed="false">
      <c r="B977" s="33"/>
      <c r="C977" s="29"/>
    </row>
    <row r="978" customFormat="false" ht="18.75" hidden="false" customHeight="true" outlineLevel="0" collapsed="false">
      <c r="B978" s="33"/>
      <c r="C978" s="29"/>
    </row>
    <row r="979" customFormat="false" ht="18.75" hidden="false" customHeight="true" outlineLevel="0" collapsed="false">
      <c r="B979" s="33"/>
      <c r="C979" s="29"/>
    </row>
    <row r="980" customFormat="false" ht="18.75" hidden="false" customHeight="true" outlineLevel="0" collapsed="false">
      <c r="B980" s="33"/>
      <c r="C980" s="29"/>
    </row>
    <row r="981" customFormat="false" ht="18.75" hidden="false" customHeight="true" outlineLevel="0" collapsed="false">
      <c r="B981" s="33"/>
      <c r="C981" s="29"/>
    </row>
    <row r="982" customFormat="false" ht="18.75" hidden="false" customHeight="true" outlineLevel="0" collapsed="false">
      <c r="B982" s="33"/>
      <c r="C982" s="29"/>
    </row>
    <row r="983" customFormat="false" ht="18.75" hidden="false" customHeight="true" outlineLevel="0" collapsed="false">
      <c r="B983" s="33"/>
      <c r="C983" s="29"/>
    </row>
    <row r="984" customFormat="false" ht="18.75" hidden="false" customHeight="true" outlineLevel="0" collapsed="false">
      <c r="B984" s="33"/>
      <c r="C984" s="29"/>
    </row>
    <row r="985" customFormat="false" ht="18.75" hidden="false" customHeight="true" outlineLevel="0" collapsed="false">
      <c r="B985" s="33"/>
      <c r="C985" s="29"/>
    </row>
    <row r="986" customFormat="false" ht="18.75" hidden="false" customHeight="true" outlineLevel="0" collapsed="false">
      <c r="B986" s="33"/>
      <c r="C986" s="29"/>
    </row>
    <row r="987" customFormat="false" ht="18.75" hidden="false" customHeight="true" outlineLevel="0" collapsed="false">
      <c r="B987" s="33"/>
      <c r="C987" s="29"/>
    </row>
    <row r="988" customFormat="false" ht="18.75" hidden="false" customHeight="true" outlineLevel="0" collapsed="false">
      <c r="B988" s="33"/>
      <c r="C988" s="29"/>
    </row>
    <row r="989" customFormat="false" ht="18.75" hidden="false" customHeight="true" outlineLevel="0" collapsed="false">
      <c r="B989" s="33"/>
      <c r="C989" s="29"/>
    </row>
    <row r="990" customFormat="false" ht="18.75" hidden="false" customHeight="true" outlineLevel="0" collapsed="false">
      <c r="B990" s="33"/>
      <c r="C990" s="29"/>
    </row>
    <row r="991" customFormat="false" ht="18.75" hidden="false" customHeight="true" outlineLevel="0" collapsed="false">
      <c r="B991" s="33"/>
      <c r="C991" s="29"/>
    </row>
    <row r="992" customFormat="false" ht="18.75" hidden="false" customHeight="true" outlineLevel="0" collapsed="false">
      <c r="B992" s="33"/>
      <c r="C992" s="29"/>
    </row>
    <row r="993" customFormat="false" ht="18.75" hidden="false" customHeight="true" outlineLevel="0" collapsed="false">
      <c r="B993" s="33"/>
      <c r="C993" s="29"/>
    </row>
    <row r="994" customFormat="false" ht="18.75" hidden="false" customHeight="true" outlineLevel="0" collapsed="false">
      <c r="B994" s="33"/>
      <c r="C994" s="29"/>
    </row>
    <row r="995" customFormat="false" ht="18.75" hidden="false" customHeight="true" outlineLevel="0" collapsed="false">
      <c r="B995" s="33"/>
      <c r="C995" s="29"/>
    </row>
    <row r="996" customFormat="false" ht="18.75" hidden="false" customHeight="true" outlineLevel="0" collapsed="false">
      <c r="B996" s="33"/>
      <c r="C996" s="29"/>
    </row>
    <row r="997" customFormat="false" ht="18.75" hidden="false" customHeight="true" outlineLevel="0" collapsed="false">
      <c r="B997" s="33"/>
      <c r="C997" s="29"/>
    </row>
    <row r="998" customFormat="false" ht="18.75" hidden="false" customHeight="true" outlineLevel="0" collapsed="false">
      <c r="B998" s="33"/>
      <c r="C998" s="29"/>
    </row>
    <row r="999" customFormat="false" ht="18.75" hidden="false" customHeight="true" outlineLevel="0" collapsed="false">
      <c r="B999" s="33"/>
      <c r="C999" s="29"/>
    </row>
    <row r="1000" customFormat="false" ht="18.75" hidden="false" customHeight="true" outlineLevel="0" collapsed="false">
      <c r="B1000" s="33"/>
      <c r="C1000" s="29"/>
    </row>
  </sheetData>
  <mergeCells count="12">
    <mergeCell ref="A1:F1"/>
    <mergeCell ref="A2:B2"/>
    <mergeCell ref="D2:E2"/>
    <mergeCell ref="A3:B3"/>
    <mergeCell ref="D3:F3"/>
    <mergeCell ref="A5:A14"/>
    <mergeCell ref="A15:A16"/>
    <mergeCell ref="A17:A21"/>
    <mergeCell ref="A22:A24"/>
    <mergeCell ref="A25:A29"/>
    <mergeCell ref="A30:A35"/>
    <mergeCell ref="A36:A43"/>
  </mergeCells>
  <dataValidations count="2">
    <dataValidation allowBlank="true" errorStyle="stop" operator="between" showDropDown="false" showErrorMessage="true" showInputMessage="false" sqref="D6 D8 D10:D12 D14 D16 D18:D21 D23:D24 D26:D27 D29 D31:D35 D37:D40 D42:D43" type="list">
      <formula1>"Sim,Parcialmente,Não,NA"</formula1>
      <formula2>0</formula2>
    </dataValidation>
    <dataValidation allowBlank="true" errorStyle="stop" operator="between" showDropDown="false" showErrorMessage="true" showInputMessage="false" sqref="D15 D17 D22 D25 D28 D30 D36 D41" type="list">
      <formula1>"Sim,Não,NA"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2026-04-16T11:57:49Z</dcterms:modified>
  <cp:revision>1</cp:revision>
  <dc:subject/>
  <dc:title/>
</cp:coreProperties>
</file>